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phamtrung/Downloads/"/>
    </mc:Choice>
  </mc:AlternateContent>
  <xr:revisionPtr revIDLastSave="0" documentId="8_{120F0A5A-B687-7C46-A281-8B0DEB2F0901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List sale_DIGITAL BUILDING" sheetId="1" r:id="rId1"/>
    <sheet name="Summary " sheetId="2" r:id="rId2"/>
    <sheet name="Hướng dẫn note màu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20" i="1" l="1"/>
  <c r="V121" i="1"/>
  <c r="V122" i="1"/>
  <c r="V119" i="1"/>
  <c r="O119" i="1"/>
  <c r="O120" i="1"/>
  <c r="O121" i="1"/>
  <c r="O122" i="1"/>
  <c r="O123" i="1"/>
  <c r="C123" i="1"/>
  <c r="C122" i="1"/>
  <c r="C121" i="1"/>
  <c r="C120" i="1"/>
  <c r="C119" i="1"/>
  <c r="V118" i="1"/>
  <c r="O118" i="1"/>
  <c r="C114" i="1"/>
  <c r="C115" i="1"/>
  <c r="V115" i="1"/>
  <c r="V114" i="1"/>
  <c r="V113" i="1"/>
  <c r="V112" i="1"/>
  <c r="V111" i="1"/>
  <c r="V110" i="1"/>
  <c r="O115" i="1"/>
  <c r="O114" i="1"/>
  <c r="O113" i="1"/>
  <c r="O112" i="1"/>
  <c r="O111" i="1"/>
  <c r="O110" i="1"/>
  <c r="V109" i="1"/>
  <c r="O109" i="1"/>
  <c r="V108" i="1"/>
  <c r="O108" i="1"/>
  <c r="V107" i="1"/>
  <c r="O107" i="1"/>
  <c r="V106" i="1"/>
  <c r="O106" i="1"/>
  <c r="V105" i="1"/>
  <c r="O105" i="1"/>
  <c r="V104" i="1"/>
  <c r="O104" i="1"/>
  <c r="A124" i="1"/>
  <c r="A125" i="1"/>
  <c r="A127" i="1"/>
  <c r="V80" i="1"/>
  <c r="O80" i="1"/>
  <c r="V79" i="1"/>
  <c r="O79" i="1"/>
  <c r="V78" i="1"/>
  <c r="O78" i="1"/>
  <c r="V77" i="1"/>
  <c r="O77" i="1"/>
  <c r="V76" i="1"/>
  <c r="O76" i="1"/>
  <c r="V75" i="1"/>
  <c r="O75" i="1"/>
  <c r="V74" i="1"/>
  <c r="O74" i="1"/>
  <c r="V67" i="1"/>
  <c r="A45" i="1"/>
  <c r="A46" i="1"/>
  <c r="C44" i="1"/>
  <c r="Y46" i="1"/>
  <c r="Y45" i="1"/>
  <c r="V45" i="1"/>
  <c r="O45" i="1"/>
  <c r="C45" i="1"/>
  <c r="V44" i="1"/>
  <c r="O44" i="1"/>
  <c r="A44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6" i="1"/>
  <c r="V5" i="1"/>
  <c r="E11" i="2"/>
  <c r="D11" i="2"/>
  <c r="C11" i="2"/>
  <c r="Y128" i="1"/>
  <c r="X128" i="1"/>
  <c r="V128" i="1"/>
  <c r="U128" i="1"/>
  <c r="T128" i="1"/>
  <c r="Y127" i="1"/>
  <c r="X127" i="1"/>
  <c r="U127" i="1"/>
  <c r="T127" i="1"/>
  <c r="S127" i="1"/>
  <c r="Q127" i="1"/>
  <c r="P127" i="1"/>
  <c r="O127" i="1"/>
  <c r="N127" i="1"/>
  <c r="M127" i="1"/>
  <c r="V126" i="1"/>
  <c r="Y125" i="1"/>
  <c r="X125" i="1"/>
  <c r="U125" i="1"/>
  <c r="T125" i="1"/>
  <c r="S125" i="1"/>
  <c r="N125" i="1"/>
  <c r="X124" i="1"/>
  <c r="U124" i="1"/>
  <c r="T124" i="1"/>
  <c r="S124" i="1"/>
  <c r="N124" i="1"/>
  <c r="V123" i="1"/>
  <c r="V117" i="1"/>
  <c r="O117" i="1"/>
  <c r="V116" i="1"/>
  <c r="O116" i="1"/>
  <c r="V73" i="1"/>
  <c r="O73" i="1"/>
  <c r="V72" i="1"/>
  <c r="O72" i="1"/>
  <c r="V71" i="1"/>
  <c r="O71" i="1"/>
  <c r="V70" i="1"/>
  <c r="O70" i="1"/>
  <c r="V69" i="1"/>
  <c r="O69" i="1"/>
  <c r="V68" i="1"/>
  <c r="O68" i="1"/>
  <c r="O67" i="1"/>
  <c r="V103" i="1"/>
  <c r="O103" i="1"/>
  <c r="V102" i="1"/>
  <c r="O102" i="1"/>
  <c r="V101" i="1"/>
  <c r="O101" i="1"/>
  <c r="V100" i="1"/>
  <c r="O100" i="1"/>
  <c r="C100" i="1"/>
  <c r="V99" i="1"/>
  <c r="O99" i="1"/>
  <c r="C99" i="1"/>
  <c r="V98" i="1"/>
  <c r="O98" i="1"/>
  <c r="V97" i="1"/>
  <c r="O97" i="1"/>
  <c r="V96" i="1"/>
  <c r="O96" i="1"/>
  <c r="V95" i="1"/>
  <c r="O95" i="1"/>
  <c r="V94" i="1"/>
  <c r="O94" i="1"/>
  <c r="V93" i="1"/>
  <c r="O93" i="1"/>
  <c r="V92" i="1"/>
  <c r="O92" i="1"/>
  <c r="V91" i="1"/>
  <c r="O91" i="1"/>
  <c r="V90" i="1"/>
  <c r="O90" i="1"/>
  <c r="V89" i="1"/>
  <c r="O89" i="1"/>
  <c r="V88" i="1"/>
  <c r="O88" i="1"/>
  <c r="V87" i="1"/>
  <c r="O87" i="1"/>
  <c r="V86" i="1"/>
  <c r="O86" i="1"/>
  <c r="C86" i="1"/>
  <c r="V85" i="1"/>
  <c r="O85" i="1"/>
  <c r="C85" i="1"/>
  <c r="V84" i="1"/>
  <c r="O84" i="1"/>
  <c r="C84" i="1"/>
  <c r="V83" i="1"/>
  <c r="O83" i="1"/>
  <c r="C83" i="1"/>
  <c r="V82" i="1"/>
  <c r="O82" i="1"/>
  <c r="C82" i="1"/>
  <c r="V81" i="1"/>
  <c r="O81" i="1"/>
  <c r="C81" i="1"/>
  <c r="V66" i="1"/>
  <c r="O66" i="1"/>
  <c r="V65" i="1"/>
  <c r="O65" i="1"/>
  <c r="V64" i="1"/>
  <c r="O64" i="1"/>
  <c r="V63" i="1"/>
  <c r="O63" i="1"/>
  <c r="C63" i="1"/>
  <c r="V62" i="1"/>
  <c r="O62" i="1"/>
  <c r="C62" i="1"/>
  <c r="V61" i="1"/>
  <c r="O61" i="1"/>
  <c r="V60" i="1"/>
  <c r="O60" i="1"/>
  <c r="V59" i="1"/>
  <c r="O59" i="1"/>
  <c r="V58" i="1"/>
  <c r="O58" i="1"/>
  <c r="V57" i="1"/>
  <c r="O57" i="1"/>
  <c r="V56" i="1"/>
  <c r="O56" i="1"/>
  <c r="V55" i="1"/>
  <c r="O55" i="1"/>
  <c r="Y54" i="1"/>
  <c r="V54" i="1"/>
  <c r="O54" i="1"/>
  <c r="Y53" i="1"/>
  <c r="V53" i="1"/>
  <c r="O53" i="1"/>
  <c r="Y52" i="1"/>
  <c r="V52" i="1"/>
  <c r="O52" i="1"/>
  <c r="Y51" i="1"/>
  <c r="V51" i="1"/>
  <c r="O51" i="1"/>
  <c r="Y50" i="1"/>
  <c r="V50" i="1"/>
  <c r="O50" i="1"/>
  <c r="X48" i="1"/>
  <c r="U48" i="1"/>
  <c r="T48" i="1"/>
  <c r="S48" i="1"/>
  <c r="N48" i="1"/>
  <c r="A48" i="1"/>
  <c r="X47" i="1"/>
  <c r="U47" i="1"/>
  <c r="T47" i="1"/>
  <c r="S47" i="1"/>
  <c r="N47" i="1"/>
  <c r="A47" i="1"/>
  <c r="O46" i="1"/>
  <c r="C46" i="1"/>
  <c r="O43" i="1"/>
  <c r="C43" i="1"/>
  <c r="A43" i="1"/>
  <c r="O42" i="1"/>
  <c r="C42" i="1"/>
  <c r="A42" i="1"/>
  <c r="Y41" i="1"/>
  <c r="O41" i="1"/>
  <c r="C41" i="1"/>
  <c r="A41" i="1"/>
  <c r="Y40" i="1"/>
  <c r="O40" i="1"/>
  <c r="C40" i="1"/>
  <c r="A40" i="1"/>
  <c r="Y39" i="1"/>
  <c r="O39" i="1"/>
  <c r="C39" i="1"/>
  <c r="A39" i="1"/>
  <c r="Y38" i="1"/>
  <c r="O38" i="1"/>
  <c r="C38" i="1"/>
  <c r="A38" i="1"/>
  <c r="Y37" i="1"/>
  <c r="O37" i="1"/>
  <c r="C37" i="1"/>
  <c r="A37" i="1"/>
  <c r="Y36" i="1"/>
  <c r="O36" i="1"/>
  <c r="C36" i="1"/>
  <c r="A36" i="1"/>
  <c r="Y35" i="1"/>
  <c r="O35" i="1"/>
  <c r="A35" i="1"/>
  <c r="Y34" i="1"/>
  <c r="O34" i="1"/>
  <c r="A34" i="1"/>
  <c r="Y33" i="1"/>
  <c r="O33" i="1"/>
  <c r="A33" i="1"/>
  <c r="Y32" i="1"/>
  <c r="O32" i="1"/>
  <c r="A32" i="1"/>
  <c r="Y31" i="1"/>
  <c r="O31" i="1"/>
  <c r="A31" i="1"/>
  <c r="Y30" i="1"/>
  <c r="O30" i="1"/>
  <c r="A30" i="1"/>
  <c r="O29" i="1"/>
  <c r="A29" i="1"/>
  <c r="O28" i="1"/>
  <c r="A28" i="1"/>
  <c r="Y27" i="1"/>
  <c r="O27" i="1"/>
  <c r="A27" i="1"/>
  <c r="Y26" i="1"/>
  <c r="O26" i="1"/>
  <c r="A26" i="1"/>
  <c r="Y25" i="1"/>
  <c r="O25" i="1"/>
  <c r="A25" i="1"/>
  <c r="Y24" i="1"/>
  <c r="O24" i="1"/>
  <c r="A24" i="1"/>
  <c r="Y23" i="1"/>
  <c r="O23" i="1"/>
  <c r="A23" i="1"/>
  <c r="Y22" i="1"/>
  <c r="O22" i="1"/>
  <c r="A22" i="1"/>
  <c r="Y21" i="1"/>
  <c r="O21" i="1"/>
  <c r="A21" i="1"/>
  <c r="Y20" i="1"/>
  <c r="O20" i="1"/>
  <c r="A20" i="1"/>
  <c r="Y19" i="1"/>
  <c r="O19" i="1"/>
  <c r="A19" i="1"/>
  <c r="Y18" i="1"/>
  <c r="O18" i="1"/>
  <c r="A18" i="1"/>
  <c r="Y17" i="1"/>
  <c r="O17" i="1"/>
  <c r="A17" i="1"/>
  <c r="Y16" i="1"/>
  <c r="O16" i="1"/>
  <c r="A16" i="1"/>
  <c r="Y15" i="1"/>
  <c r="O15" i="1"/>
  <c r="A15" i="1"/>
  <c r="Y14" i="1"/>
  <c r="O14" i="1"/>
  <c r="A14" i="1"/>
  <c r="Y13" i="1"/>
  <c r="O13" i="1"/>
  <c r="A13" i="1"/>
  <c r="Y12" i="1"/>
  <c r="O12" i="1"/>
  <c r="A12" i="1"/>
  <c r="O11" i="1"/>
  <c r="A11" i="1"/>
  <c r="O10" i="1"/>
  <c r="A10" i="1"/>
  <c r="O9" i="1"/>
  <c r="A9" i="1"/>
  <c r="O8" i="1"/>
  <c r="A8" i="1"/>
  <c r="O7" i="1"/>
  <c r="A7" i="1"/>
  <c r="O6" i="1"/>
  <c r="A6" i="1"/>
  <c r="O5" i="1"/>
  <c r="A5" i="1"/>
  <c r="P120" i="1" l="1"/>
  <c r="Q120" i="1"/>
  <c r="P122" i="1"/>
  <c r="Q122" i="1"/>
  <c r="P121" i="1"/>
  <c r="Q121" i="1"/>
  <c r="P123" i="1"/>
  <c r="P119" i="1"/>
  <c r="Q119" i="1" s="1"/>
  <c r="P118" i="1"/>
  <c r="P112" i="1"/>
  <c r="P110" i="1"/>
  <c r="P115" i="1"/>
  <c r="Q115" i="1" s="1"/>
  <c r="P114" i="1"/>
  <c r="Q114" i="1" s="1"/>
  <c r="P113" i="1"/>
  <c r="Q113" i="1" s="1"/>
  <c r="Q112" i="1"/>
  <c r="P111" i="1"/>
  <c r="Q110" i="1"/>
  <c r="P104" i="1"/>
  <c r="P74" i="1"/>
  <c r="P109" i="1"/>
  <c r="P108" i="1"/>
  <c r="P107" i="1"/>
  <c r="P106" i="1"/>
  <c r="Q106" i="1" s="1"/>
  <c r="P105" i="1"/>
  <c r="R104" i="1"/>
  <c r="Q104" i="1"/>
  <c r="R108" i="1"/>
  <c r="A129" i="1"/>
  <c r="A130" i="1"/>
  <c r="P76" i="1"/>
  <c r="P75" i="1"/>
  <c r="P79" i="1"/>
  <c r="P80" i="1"/>
  <c r="Q79" i="1"/>
  <c r="P78" i="1"/>
  <c r="P77" i="1"/>
  <c r="V48" i="1"/>
  <c r="V47" i="1"/>
  <c r="P45" i="1"/>
  <c r="P44" i="1"/>
  <c r="Q44" i="1" s="1"/>
  <c r="R44" i="1"/>
  <c r="O124" i="1"/>
  <c r="P61" i="1"/>
  <c r="Y48" i="1"/>
  <c r="O47" i="1"/>
  <c r="I11" i="2"/>
  <c r="H11" i="2"/>
  <c r="G11" i="2"/>
  <c r="F11" i="2"/>
  <c r="J11" i="2" s="1"/>
  <c r="I10" i="2"/>
  <c r="H10" i="2"/>
  <c r="G10" i="2"/>
  <c r="F10" i="2"/>
  <c r="E10" i="2"/>
  <c r="C10" i="2"/>
  <c r="H9" i="2"/>
  <c r="G9" i="2"/>
  <c r="F9" i="2"/>
  <c r="E9" i="2"/>
  <c r="C9" i="2"/>
  <c r="I5" i="2"/>
  <c r="H5" i="2"/>
  <c r="G5" i="2"/>
  <c r="F5" i="2"/>
  <c r="J5" i="2" s="1"/>
  <c r="E5" i="2"/>
  <c r="D5" i="2"/>
  <c r="C5" i="2"/>
  <c r="H4" i="2"/>
  <c r="G4" i="2"/>
  <c r="F4" i="2"/>
  <c r="E4" i="2"/>
  <c r="C4" i="2"/>
  <c r="H3" i="2"/>
  <c r="G3" i="2"/>
  <c r="F3" i="2"/>
  <c r="E3" i="2"/>
  <c r="C3" i="2"/>
  <c r="X130" i="1"/>
  <c r="U130" i="1"/>
  <c r="T130" i="1"/>
  <c r="S130" i="1"/>
  <c r="N130" i="1"/>
  <c r="X129" i="1"/>
  <c r="U129" i="1"/>
  <c r="T129" i="1"/>
  <c r="S129" i="1"/>
  <c r="N129" i="1"/>
  <c r="V127" i="1"/>
  <c r="V125" i="1"/>
  <c r="O125" i="1"/>
  <c r="D10" i="2" s="1"/>
  <c r="V124" i="1"/>
  <c r="P117" i="1"/>
  <c r="P116" i="1"/>
  <c r="O48" i="1"/>
  <c r="Y47" i="1"/>
  <c r="P71" i="1"/>
  <c r="P70" i="1"/>
  <c r="P69" i="1"/>
  <c r="P68" i="1"/>
  <c r="P67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66" i="1"/>
  <c r="P65" i="1"/>
  <c r="P64" i="1"/>
  <c r="P63" i="1"/>
  <c r="P62" i="1"/>
  <c r="P58" i="1"/>
  <c r="P56" i="1"/>
  <c r="P55" i="1"/>
  <c r="Q55" i="1" s="1"/>
  <c r="P54" i="1"/>
  <c r="P53" i="1"/>
  <c r="P52" i="1"/>
  <c r="Q52" i="1" s="1"/>
  <c r="P51" i="1"/>
  <c r="P50" i="1"/>
  <c r="P57" i="1"/>
  <c r="P60" i="1"/>
  <c r="P59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28" i="1"/>
  <c r="P13" i="1"/>
  <c r="P12" i="1"/>
  <c r="P11" i="1"/>
  <c r="P10" i="1"/>
  <c r="P9" i="1"/>
  <c r="P8" i="1"/>
  <c r="P7" i="1"/>
  <c r="P6" i="1"/>
  <c r="P5" i="1"/>
  <c r="Y124" i="1"/>
  <c r="I4" i="2" s="1"/>
  <c r="P73" i="1"/>
  <c r="P72" i="1"/>
  <c r="P46" i="1"/>
  <c r="Q123" i="1" l="1"/>
  <c r="R120" i="1"/>
  <c r="R123" i="1"/>
  <c r="R122" i="1"/>
  <c r="R121" i="1"/>
  <c r="R119" i="1"/>
  <c r="Q118" i="1"/>
  <c r="R118" i="1"/>
  <c r="H6" i="2"/>
  <c r="R57" i="1"/>
  <c r="R50" i="1"/>
  <c r="R76" i="1"/>
  <c r="Q76" i="1"/>
  <c r="Q75" i="1"/>
  <c r="R114" i="1"/>
  <c r="R115" i="1"/>
  <c r="R112" i="1"/>
  <c r="R113" i="1"/>
  <c r="R74" i="1"/>
  <c r="Q74" i="1"/>
  <c r="G6" i="2"/>
  <c r="J4" i="2"/>
  <c r="J10" i="2"/>
  <c r="R111" i="1"/>
  <c r="R110" i="1"/>
  <c r="Q111" i="1"/>
  <c r="Q109" i="1"/>
  <c r="H12" i="2"/>
  <c r="R107" i="1"/>
  <c r="R105" i="1"/>
  <c r="Q105" i="1"/>
  <c r="R109" i="1"/>
  <c r="Q108" i="1"/>
  <c r="Q107" i="1"/>
  <c r="R106" i="1"/>
  <c r="R75" i="1"/>
  <c r="R77" i="1"/>
  <c r="Q77" i="1"/>
  <c r="R80" i="1"/>
  <c r="Q80" i="1"/>
  <c r="R78" i="1"/>
  <c r="R79" i="1"/>
  <c r="Q78" i="1"/>
  <c r="G12" i="2"/>
  <c r="E12" i="2"/>
  <c r="C12" i="2"/>
  <c r="E6" i="2"/>
  <c r="Q45" i="1"/>
  <c r="R45" i="1"/>
  <c r="R52" i="1"/>
  <c r="R53" i="1"/>
  <c r="R117" i="1"/>
  <c r="Q117" i="1"/>
  <c r="R116" i="1"/>
  <c r="Q116" i="1"/>
  <c r="I9" i="2"/>
  <c r="I12" i="2" s="1"/>
  <c r="Y130" i="1"/>
  <c r="O129" i="1"/>
  <c r="Q7" i="1"/>
  <c r="R63" i="1"/>
  <c r="R61" i="1"/>
  <c r="Q61" i="1"/>
  <c r="Q51" i="1"/>
  <c r="P124" i="1"/>
  <c r="R26" i="1"/>
  <c r="J9" i="2"/>
  <c r="F12" i="2"/>
  <c r="J3" i="2"/>
  <c r="F6" i="2"/>
  <c r="O130" i="1"/>
  <c r="D9" i="2"/>
  <c r="D12" i="2" s="1"/>
  <c r="Y129" i="1"/>
  <c r="I3" i="2"/>
  <c r="I6" i="2" s="1"/>
  <c r="Q43" i="1"/>
  <c r="R43" i="1"/>
  <c r="Q13" i="1"/>
  <c r="R13" i="1"/>
  <c r="C6" i="2"/>
  <c r="V130" i="1"/>
  <c r="V129" i="1"/>
  <c r="R73" i="1"/>
  <c r="Q73" i="1"/>
  <c r="R72" i="1"/>
  <c r="Q72" i="1"/>
  <c r="R71" i="1"/>
  <c r="Q71" i="1"/>
  <c r="R70" i="1"/>
  <c r="Q70" i="1"/>
  <c r="R69" i="1"/>
  <c r="Q69" i="1"/>
  <c r="R60" i="1"/>
  <c r="Q60" i="1"/>
  <c r="Q59" i="1"/>
  <c r="R42" i="1"/>
  <c r="R68" i="1"/>
  <c r="Q68" i="1"/>
  <c r="R67" i="1"/>
  <c r="Q67" i="1"/>
  <c r="R103" i="1"/>
  <c r="Q103" i="1"/>
  <c r="R102" i="1"/>
  <c r="Q102" i="1"/>
  <c r="R101" i="1"/>
  <c r="Q101" i="1"/>
  <c r="R100" i="1"/>
  <c r="Q100" i="1"/>
  <c r="R99" i="1"/>
  <c r="Q99" i="1"/>
  <c r="R98" i="1"/>
  <c r="Q98" i="1"/>
  <c r="R97" i="1"/>
  <c r="Q97" i="1"/>
  <c r="R96" i="1"/>
  <c r="Q96" i="1"/>
  <c r="R95" i="1"/>
  <c r="Q95" i="1"/>
  <c r="R94" i="1"/>
  <c r="Q94" i="1"/>
  <c r="R93" i="1"/>
  <c r="Q93" i="1"/>
  <c r="R92" i="1"/>
  <c r="Q92" i="1"/>
  <c r="R91" i="1"/>
  <c r="Q91" i="1"/>
  <c r="R90" i="1"/>
  <c r="Q90" i="1"/>
  <c r="R89" i="1"/>
  <c r="Q89" i="1"/>
  <c r="R88" i="1"/>
  <c r="Q88" i="1"/>
  <c r="R87" i="1"/>
  <c r="Q87" i="1"/>
  <c r="R86" i="1"/>
  <c r="Q86" i="1"/>
  <c r="R85" i="1"/>
  <c r="Q85" i="1"/>
  <c r="R84" i="1"/>
  <c r="Q84" i="1"/>
  <c r="R83" i="1"/>
  <c r="Q83" i="1"/>
  <c r="R82" i="1"/>
  <c r="Q82" i="1"/>
  <c r="R81" i="1"/>
  <c r="Q81" i="1"/>
  <c r="P125" i="1"/>
  <c r="Q65" i="1"/>
  <c r="Q64" i="1"/>
  <c r="R55" i="1"/>
  <c r="Q54" i="1"/>
  <c r="Q53" i="1"/>
  <c r="R51" i="1"/>
  <c r="Q50" i="1"/>
  <c r="R59" i="1"/>
  <c r="Q42" i="1"/>
  <c r="R66" i="1"/>
  <c r="Q66" i="1"/>
  <c r="R65" i="1"/>
  <c r="R64" i="1"/>
  <c r="Q63" i="1"/>
  <c r="R62" i="1"/>
  <c r="Q62" i="1"/>
  <c r="R58" i="1"/>
  <c r="Q58" i="1"/>
  <c r="Q57" i="1"/>
  <c r="R56" i="1"/>
  <c r="Q56" i="1"/>
  <c r="R54" i="1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P48" i="1"/>
  <c r="R29" i="1"/>
  <c r="Q29" i="1"/>
  <c r="R27" i="1"/>
  <c r="Q27" i="1"/>
  <c r="R23" i="1"/>
  <c r="R22" i="1"/>
  <c r="R21" i="1"/>
  <c r="R20" i="1"/>
  <c r="Q19" i="1"/>
  <c r="Q18" i="1"/>
  <c r="R17" i="1"/>
  <c r="Q16" i="1"/>
  <c r="R15" i="1"/>
  <c r="R14" i="1"/>
  <c r="R28" i="1"/>
  <c r="Q12" i="1"/>
  <c r="R11" i="1"/>
  <c r="R9" i="1"/>
  <c r="Q8" i="1"/>
  <c r="R7" i="1"/>
  <c r="Q6" i="1"/>
  <c r="R5" i="1"/>
  <c r="Q5" i="1"/>
  <c r="P47" i="1"/>
  <c r="R46" i="1"/>
  <c r="Q46" i="1"/>
  <c r="Q26" i="1"/>
  <c r="R25" i="1"/>
  <c r="Q25" i="1"/>
  <c r="R24" i="1"/>
  <c r="Q24" i="1"/>
  <c r="Q23" i="1"/>
  <c r="Q22" i="1"/>
  <c r="Q21" i="1"/>
  <c r="Q20" i="1"/>
  <c r="R19" i="1"/>
  <c r="R18" i="1"/>
  <c r="Q17" i="1"/>
  <c r="R16" i="1"/>
  <c r="Q15" i="1"/>
  <c r="Q14" i="1"/>
  <c r="Q28" i="1"/>
  <c r="R12" i="1"/>
  <c r="Q11" i="1"/>
  <c r="R10" i="1"/>
  <c r="Q9" i="1"/>
  <c r="R8" i="1"/>
  <c r="R6" i="1"/>
  <c r="Q10" i="1"/>
  <c r="J12" i="2" l="1"/>
  <c r="R125" i="1"/>
  <c r="Q125" i="1"/>
  <c r="R124" i="1"/>
  <c r="Q124" i="1"/>
  <c r="D4" i="2" s="1"/>
  <c r="P129" i="1"/>
  <c r="R48" i="1"/>
  <c r="P130" i="1"/>
  <c r="J6" i="2"/>
  <c r="Q48" i="1"/>
  <c r="R47" i="1"/>
  <c r="Q47" i="1"/>
  <c r="R130" i="1" l="1"/>
  <c r="K9" i="2"/>
  <c r="K10" i="2"/>
  <c r="K11" i="2"/>
  <c r="Q130" i="1"/>
  <c r="R129" i="1"/>
  <c r="K5" i="2"/>
  <c r="K4" i="2"/>
  <c r="K3" i="2"/>
  <c r="Q129" i="1"/>
  <c r="D3" i="2"/>
  <c r="D6" i="2" s="1"/>
  <c r="K6" i="2" l="1"/>
  <c r="K12" i="2"/>
</calcChain>
</file>

<file path=xl/sharedStrings.xml><?xml version="1.0" encoding="utf-8"?>
<sst xmlns="http://schemas.openxmlformats.org/spreadsheetml/2006/main" count="1592" uniqueCount="403">
  <si>
    <t>DIGITAL BUILDING LIST</t>
  </si>
  <si>
    <t>No.</t>
  </si>
  <si>
    <t>Type</t>
  </si>
  <si>
    <t>Report Code</t>
  </si>
  <si>
    <t>Name of Block</t>
  </si>
  <si>
    <t>Address Detail</t>
  </si>
  <si>
    <t xml:space="preserve">Ward </t>
  </si>
  <si>
    <t xml:space="preserve">City </t>
  </si>
  <si>
    <t>Address (cũ)</t>
  </si>
  <si>
    <t>District (cũ)</t>
  </si>
  <si>
    <t>City (cũ)</t>
  </si>
  <si>
    <r>
      <rPr>
        <b/>
        <sz val="10"/>
        <color rgb="FFFFFFFF"/>
        <rFont val="Montserrat"/>
      </rPr>
      <t xml:space="preserve">Q.ty of Floor
</t>
    </r>
    <r>
      <rPr>
        <b/>
        <sz val="7"/>
        <color rgb="FFFFFFFF"/>
        <rFont val="Montserrat"/>
      </rPr>
      <t>(Tổng số tầng không bao gồm tầng gửi xe)</t>
    </r>
  </si>
  <si>
    <t>Q.ty of Apartment</t>
  </si>
  <si>
    <r>
      <rPr>
        <b/>
        <sz val="10"/>
        <color rgb="FFFFFFFF"/>
        <rFont val="Montserrat"/>
      </rPr>
      <t xml:space="preserve">Resident
Traffic </t>
    </r>
    <r>
      <rPr>
        <b/>
        <sz val="8"/>
        <color rgb="FFFFFFFF"/>
        <rFont val="Montserrat"/>
      </rPr>
      <t>= (số căn hộ x 3)</t>
    </r>
  </si>
  <si>
    <t>Visitor</t>
  </si>
  <si>
    <t>Traffic/week</t>
  </si>
  <si>
    <t>Impression/wk</t>
  </si>
  <si>
    <t>Q.ty of Lift</t>
  </si>
  <si>
    <t>DP
(Digital Poster
Inside Elevator)</t>
  </si>
  <si>
    <t>DP/LCD
(Digital Poster
Outside)</t>
  </si>
  <si>
    <t>Total
thực tế</t>
  </si>
  <si>
    <t>Operational Status</t>
  </si>
  <si>
    <t xml:space="preserve">GP (Giant Poster inside) </t>
  </si>
  <si>
    <t xml:space="preserve">GP (Giant Poster outside) </t>
  </si>
  <si>
    <r>
      <rPr>
        <b/>
        <sz val="10"/>
        <color rgb="FFFFFFFF"/>
        <rFont val="Montserrat"/>
      </rPr>
      <t xml:space="preserve">Utilities Area
</t>
    </r>
    <r>
      <rPr>
        <b/>
        <sz val="8"/>
        <color rgb="FFFFE082"/>
        <rFont val="Montserrat"/>
      </rPr>
      <t>(Shopping mall, suppermarket, 24h mart,
Gym, restaurant, cinema,..)</t>
    </r>
  </si>
  <si>
    <r>
      <rPr>
        <b/>
        <sz val="10"/>
        <color rgb="FFFFFFFF"/>
        <rFont val="Montserrat"/>
      </rPr>
      <t xml:space="preserve">Except
</t>
    </r>
    <r>
      <rPr>
        <b/>
        <sz val="9"/>
        <color rgb="FFFFE082"/>
        <rFont val="Montserrat"/>
      </rPr>
      <t>(brand can't advertised)</t>
    </r>
  </si>
  <si>
    <r>
      <rPr>
        <b/>
        <sz val="10"/>
        <color rgb="FFFFFFFF"/>
        <rFont val="Montserrat"/>
      </rPr>
      <t xml:space="preserve">Exploitation period
</t>
    </r>
    <r>
      <rPr>
        <b/>
        <sz val="7"/>
        <color rgb="FFFFFFFF"/>
        <rFont val="Montserrat"/>
      </rPr>
      <t xml:space="preserve"> (Thời gian khai thác)</t>
    </r>
  </si>
  <si>
    <t>Other Notes</t>
  </si>
  <si>
    <t>Tên nhân sự 
phụ trách</t>
  </si>
  <si>
    <t xml:space="preserve">Confirm thông tin </t>
  </si>
  <si>
    <t xml:space="preserve">  BUILDING IN HO CHI MINH</t>
  </si>
  <si>
    <t>BD</t>
  </si>
  <si>
    <t>CS</t>
  </si>
  <si>
    <t>SL màn
( Cột 15,16, 17)</t>
  </si>
  <si>
    <t>TT 
chung cư
( Cột 8,9,10,14)</t>
  </si>
  <si>
    <t>AP</t>
  </si>
  <si>
    <t>THEDEDGEBLOCKAIRE</t>
  </si>
  <si>
    <t>The D'Edge Block Aire</t>
  </si>
  <si>
    <t>207 Nguyễn Văn Hưởng</t>
  </si>
  <si>
    <t>An Khánh</t>
  </si>
  <si>
    <t>Hồ Chí Minh</t>
  </si>
  <si>
    <t>225 Bến Chương Dương, Phường Cô Giang</t>
  </si>
  <si>
    <t>ON AIR</t>
  </si>
  <si>
    <t>Hồ bơi</t>
  </si>
  <si>
    <t>BVS, Bạo Lực, Kinh Dị, Bất động sản</t>
  </si>
  <si>
    <t>Khai thác từ ngày 01/02/2026 - 31/01/2028</t>
  </si>
  <si>
    <t xml:space="preserve">Thanh Vy </t>
  </si>
  <si>
    <t>Nguyên</t>
  </si>
  <si>
    <t>Confirmed</t>
  </si>
  <si>
    <t>Edited</t>
  </si>
  <si>
    <t>THEDEDGEBLOCKBREZE</t>
  </si>
  <si>
    <t>The D'Edge Block Breze</t>
  </si>
  <si>
    <t>Gym</t>
  </si>
  <si>
    <t>Thanh Vy</t>
  </si>
  <si>
    <t xml:space="preserve">Nguyên </t>
  </si>
  <si>
    <t>EMPIRECITYCOVERESIDENCESTHAP1</t>
  </si>
  <si>
    <t>Empire City Cove Residences - Tháp 1</t>
  </si>
  <si>
    <t>186/6A Thủ Thiêm</t>
  </si>
  <si>
    <t>Gym, Hồ bơi, Coffeeshop</t>
  </si>
  <si>
    <t>BĐS, Bạo lực, Kinh dị, BVS</t>
  </si>
  <si>
    <t>Khai thác từ ngày 1/6/2026 - 31/5/2027</t>
  </si>
  <si>
    <t>Nhiên</t>
  </si>
  <si>
    <t>EMPIRECITYCOVERESIDENCESTHAP2</t>
  </si>
  <si>
    <t>Empire City Cove Residences - Tháp 2</t>
  </si>
  <si>
    <t>THEPRIVIABLOCKA</t>
  </si>
  <si>
    <t>The Privia Block A</t>
  </si>
  <si>
    <t>158 An Dương Vương</t>
  </si>
  <si>
    <t>An Lạc</t>
  </si>
  <si>
    <t>Coffe Trung Nguyên, Shophouse</t>
  </si>
  <si>
    <t>Khai thác từ ngày 15/01/2026 - 14/01/2029</t>
  </si>
  <si>
    <t xml:space="preserve">Hà </t>
  </si>
  <si>
    <t>THEPRIVIABLOCKB</t>
  </si>
  <si>
    <t>The Privia Block B</t>
  </si>
  <si>
    <t>Hồ bơi, Gym, Yoga, Đọc sách, BBQ, King Mart</t>
  </si>
  <si>
    <t>THEPRIVIABLOCKC</t>
  </si>
  <si>
    <t>The Privia Block C</t>
  </si>
  <si>
    <t>Trường mầm non, sân chơi trẻ em</t>
  </si>
  <si>
    <t>OB</t>
  </si>
  <si>
    <t>THESUNAVENUESO1</t>
  </si>
  <si>
    <t>The Sun Avenue S01</t>
  </si>
  <si>
    <t>28 Mai Chí Thọ</t>
  </si>
  <si>
    <t>Bình Trưng</t>
  </si>
  <si>
    <t>43-45 Ngõ 130 Đốc Ngữ, Phường Vĩnh Phú</t>
  </si>
  <si>
    <t>Ba Đình</t>
  </si>
  <si>
    <t>Hà Nội</t>
  </si>
  <si>
    <t>Siêu thị, cafe, quán ăn, Salon, nhà thuốc, Gym, Hồ bơi, …</t>
  </si>
  <si>
    <t>BVS, Bạo Lực, Kinh Dị,..</t>
  </si>
  <si>
    <t>Khai thác từ ngày 1/2/2026 - 31/1/2027</t>
  </si>
  <si>
    <t>Tân</t>
  </si>
  <si>
    <t>Reviewing</t>
  </si>
  <si>
    <t>THESUNAVENUESO2</t>
  </si>
  <si>
    <t>The Sun Avenue S02</t>
  </si>
  <si>
    <t>THESUNAVENUESO3</t>
  </si>
  <si>
    <t>The Sun Avenue S03</t>
  </si>
  <si>
    <t>THESUNAVENUESO4</t>
  </si>
  <si>
    <t>The Sun Avenue S04</t>
  </si>
  <si>
    <t>THESUNAVENUESO5</t>
  </si>
  <si>
    <t>The Sun Avenue S05</t>
  </si>
  <si>
    <t>THESUNAVENUESO6</t>
  </si>
  <si>
    <t>The Sun Avenue S06</t>
  </si>
  <si>
    <t>THESUNAVENUESO7</t>
  </si>
  <si>
    <t>The Sun Avenue S07</t>
  </si>
  <si>
    <t>THESUNAVENUESO8</t>
  </si>
  <si>
    <t>The Sun Avenue S08</t>
  </si>
  <si>
    <t>15-17 Ngọc Khánh</t>
  </si>
  <si>
    <t>THESUNAVENUESA1</t>
  </si>
  <si>
    <t>The Sun Avenue SA1</t>
  </si>
  <si>
    <t>THESUNAVENUESA2</t>
  </si>
  <si>
    <t>The Sun Avenue SA2</t>
  </si>
  <si>
    <t>THESUNAVENUESA3</t>
  </si>
  <si>
    <t>The Sun Avenue SA3</t>
  </si>
  <si>
    <t>THESUNAVENUESA4</t>
  </si>
  <si>
    <t>The Sun Avenue SA4</t>
  </si>
  <si>
    <t>THESUNAVENUESA5</t>
  </si>
  <si>
    <t>The Sun Avenue SA5</t>
  </si>
  <si>
    <t>THESUNAVENUESA6</t>
  </si>
  <si>
    <t>The Sun Avenue SA6</t>
  </si>
  <si>
    <t>THESUNAVENUESA7</t>
  </si>
  <si>
    <t>The Sun Avenue SA7</t>
  </si>
  <si>
    <t>THESUNAVENUESA8</t>
  </si>
  <si>
    <t>The Sun Avenue SA8</t>
  </si>
  <si>
    <t>THUTHIEMGARDENBLOCKA</t>
  </si>
  <si>
    <t>Thủ Thiêm Garden Block A</t>
  </si>
  <si>
    <t>269 Liên Phường</t>
  </si>
  <si>
    <t>Phước Long</t>
  </si>
  <si>
    <t>Winmart</t>
  </si>
  <si>
    <t>Khai thác từ ngày 25/05/20206 - 24/06/2029</t>
  </si>
  <si>
    <t>Hà</t>
  </si>
  <si>
    <t>THUTHIEMGARDENBLOCKB</t>
  </si>
  <si>
    <t>Thủ Thiêm Garden Block B</t>
  </si>
  <si>
    <t>AKARICITYBLOCKAK1</t>
  </si>
  <si>
    <t>Akari City Block AK1</t>
  </si>
  <si>
    <t>77 Võ Văn Kiệt</t>
  </si>
  <si>
    <t>ON GOING</t>
  </si>
  <si>
    <t>Hồ bơi, highlands, khu vui chơi, Convenience store, Gym</t>
  </si>
  <si>
    <t>Khai thác từ ngày 1/7/2026 đến ngày 30/6/2027</t>
  </si>
  <si>
    <t>AKARICITYBLOCKAK2</t>
  </si>
  <si>
    <t>Akari City Block AK2</t>
  </si>
  <si>
    <t>AKARICITYBLOCKAK3</t>
  </si>
  <si>
    <t>Akari City Block AK3</t>
  </si>
  <si>
    <t>AKARICITYBLOCKAK4</t>
  </si>
  <si>
    <t>Akari City Block AK4</t>
  </si>
  <si>
    <t>AKARICITYBLOCKAK5</t>
  </si>
  <si>
    <t>Akari City Block AK5</t>
  </si>
  <si>
    <t>AKARICITYBLOCKAK6</t>
  </si>
  <si>
    <t>Akari City Block AK6</t>
  </si>
  <si>
    <t>Bcons City Block A1a</t>
  </si>
  <si>
    <t>57-60 Thống Nhất</t>
  </si>
  <si>
    <t>Đông Hòa</t>
  </si>
  <si>
    <t>Shophouse, khu vui chơi</t>
  </si>
  <si>
    <t>BVS, Bạo Lực, Kinh Dị, Bất động sản,..</t>
  </si>
  <si>
    <t>Bcons City Block A1b</t>
  </si>
  <si>
    <t>Bcons City Block A2</t>
  </si>
  <si>
    <t>Bcons City Block B1</t>
  </si>
  <si>
    <t>Bcons City Block B2a</t>
  </si>
  <si>
    <t>Bcons City Block B2b</t>
  </si>
  <si>
    <t>Topaz Home 2 B Block C</t>
  </si>
  <si>
    <t>215 Đường số 138</t>
  </si>
  <si>
    <t>Tăng Nhơn Phú</t>
  </si>
  <si>
    <t>Hồ bơi, shophouse, khu vui chơi, công viên</t>
  </si>
  <si>
    <t>Vỹ</t>
  </si>
  <si>
    <t>Topaz Home 2 B Block A</t>
  </si>
  <si>
    <t>Topaz Home 2 B Block B</t>
  </si>
  <si>
    <t xml:space="preserve"> Total Ho Chi Minh City _ ON AIR</t>
  </si>
  <si>
    <t xml:space="preserve"> Total Ho Chi Minh City _ ON GOING</t>
  </si>
  <si>
    <t xml:space="preserve">  BUILDING IN HA NOI</t>
  </si>
  <si>
    <t>HOPERESIDENCESBLOCKH1</t>
  </si>
  <si>
    <t>Hope Residences block H1</t>
  </si>
  <si>
    <t>B8.NXH Ngã tư, Nguyễn Lam</t>
  </si>
  <si>
    <t>Phúc Đồng</t>
  </si>
  <si>
    <t>Siêu thị, cafe, quán ăn, ….</t>
  </si>
  <si>
    <t>MAI</t>
  </si>
  <si>
    <t>LAN ANH</t>
  </si>
  <si>
    <t>HOPERESIDENCESBLOCKH2</t>
  </si>
  <si>
    <t>Hope Residences block H2</t>
  </si>
  <si>
    <t>HOPERESIDENCESBLOCKH3</t>
  </si>
  <si>
    <t>Hope Residences block H3</t>
  </si>
  <si>
    <t>HOPERESIDENCESBLOCKH4</t>
  </si>
  <si>
    <t>Hope Residences block H4</t>
  </si>
  <si>
    <t>HOPERESIDENCESBLOCKH5</t>
  </si>
  <si>
    <t>Hope Residences block H5</t>
  </si>
  <si>
    <t>CT4BOTULENH</t>
  </si>
  <si>
    <t>CT4 Bộ Tư Lệnh</t>
  </si>
  <si>
    <t>Khu nhà ở Bộ Tư lệnh Thủ đô</t>
  </si>
  <si>
    <t>Yên Nghĩa</t>
  </si>
  <si>
    <t>Siêu thị, Khu vui chơi trẻ em, Coffee Shop</t>
  </si>
  <si>
    <t>Khai thác từ ngày 20/03/2026 - 09/03/2029</t>
  </si>
  <si>
    <t>- Lắp mới 03 LCD 32 Logo bên ngoài thang máy tầng trệt (20/03/2026)
 - Lắp mới 02 LCD 32 Logo bên ngoài thang máy tầng 2 - tầng gửi xe (20/03/2026)
 - Bên trong thang máy 08 DP 27 Logo sẽ tiến hành lắp đặt sau</t>
  </si>
  <si>
    <t>QUYÈN</t>
  </si>
  <si>
    <t>DUYÊN</t>
  </si>
  <si>
    <t>HOCVIENBOQUOCPHONGTHAPDONGKHUCUDAN</t>
  </si>
  <si>
    <t>Học viện bộ quốc phòng tháp Đông Khu Cư Dân</t>
  </si>
  <si>
    <t>Ô đất O17-HH2 Khu đô thị mới Tây Hồ Tây</t>
  </si>
  <si>
    <t>Nghĩa Đô</t>
  </si>
  <si>
    <t>Café, Quán ăn, siêu chị, ngân hàng</t>
  </si>
  <si>
    <t>BVS, Bạo Lực, Kinh Dị</t>
  </si>
  <si>
    <t>Khai thác từ ngày 01/02/2026 - 30/01/2029</t>
  </si>
  <si>
    <t>- Lắp mới 03 DP 27 Logo bên ngoài thang máy tầng trệt (13/03/2026)</t>
  </si>
  <si>
    <t>THUỲ</t>
  </si>
  <si>
    <t>Học viện bộ quốc phòng tháp Tây Khu Cư Dân</t>
  </si>
  <si>
    <t>THENELSONPRIVATEAP</t>
  </si>
  <si>
    <t>The Nelson Private AP</t>
  </si>
  <si>
    <t>9 ngõ 29 Láng Hạ</t>
  </si>
  <si>
    <t>Ô Chợ Dừa</t>
  </si>
  <si>
    <t>Café, Quán ăn, siêu thị</t>
  </si>
  <si>
    <t>Khai thác từ ngày 25/3/2026 - 24/03/2029</t>
  </si>
  <si>
    <t>- Lắp mới 12 DP 27 Logo bên ngoài thang máy tầng B1, B2, B2 (26/03/2026)
 '- Lắp mới 08 DP 27 Logo bên trong thang máy tầng (02/04/2026)</t>
  </si>
  <si>
    <t>THENELSONPRIVATEOB</t>
  </si>
  <si>
    <t>The Nelson Private OB</t>
  </si>
  <si>
    <t>Café, Quán ăn, siêu thị, ngân hàng, TTTM, trường học</t>
  </si>
  <si>
    <t>- Lắp mới 01DP 27 Logo bên ngoài thang máy tầng G và Lắp mới 02DP 27 Logo bên trong thang máy</t>
  </si>
  <si>
    <t>CT12AKĐTKIMVANBLOCKA</t>
  </si>
  <si>
    <t>CT12A KĐT Kim Văn - Block A</t>
  </si>
  <si>
    <t>KĐT Kim Văn, Kim Lũ</t>
  </si>
  <si>
    <t>Hoàng Mai</t>
  </si>
  <si>
    <t>Khai thác từ ngày 29/05/2026 đến 24/04/2029</t>
  </si>
  <si>
    <t>- Đã lắp và khai thác 06 DP 27 Logo bên trong thang máy ngày 29/05/2026</t>
  </si>
  <si>
    <t>CT12AKĐTKIMVANBLOCKB</t>
  </si>
  <si>
    <t>CT12A KĐT Kim Văn - Block B</t>
  </si>
  <si>
    <t>- Đã lắp và khai thác 08 DP 27 Logo bên trong thang máy ngày 04/06/2026</t>
  </si>
  <si>
    <t>Aquabay Residences Sky 2</t>
  </si>
  <si>
    <t>Khu đô thị Ecopark</t>
  </si>
  <si>
    <t>Phụng Công</t>
  </si>
  <si>
    <t>Hưng Yên</t>
  </si>
  <si>
    <t>Café, Quán ăn, siêu chị, spa,..</t>
  </si>
  <si>
    <t>Khai thác từ ngày 01/05/2026 - 30/04/2028</t>
  </si>
  <si>
    <t>Lắp mới 6 màn DP bên trong thang máy</t>
  </si>
  <si>
    <t>Aquabay Residences Sky 3</t>
  </si>
  <si>
    <t>Café, Quán ăn, siêu chị, spa,...</t>
  </si>
  <si>
    <t>SKYFORESTBLOCKSF1</t>
  </si>
  <si>
    <t>Sky Forest Block SF1</t>
  </si>
  <si>
    <t>Khu Căn hộ Quảng trường Vịnh đảo Sky Forest</t>
  </si>
  <si>
    <t>Khai thác từ ngày 15/03/2026 đến 14/04/2029</t>
  </si>
  <si>
    <t>SKYFORESTBLOCKSF2</t>
  </si>
  <si>
    <t>Sky Forest Block SF2</t>
  </si>
  <si>
    <t>SKYFORESTBLOCKSF3</t>
  </si>
  <si>
    <t>Sky Forest Block SF3</t>
  </si>
  <si>
    <t>Ecohome 1 Block E1A</t>
  </si>
  <si>
    <t>Khu đô thị mới Bắc Cổ Nhuế - Chèm</t>
  </si>
  <si>
    <t>Đông Ngạc</t>
  </si>
  <si>
    <t>QUYỀN</t>
  </si>
  <si>
    <t>Ecohome 1 Block E1B</t>
  </si>
  <si>
    <t>Ecohome 1 Block E2</t>
  </si>
  <si>
    <t>Ecohome 1 Block E3A</t>
  </si>
  <si>
    <t>Ecohome 1 Block E3B</t>
  </si>
  <si>
    <t>Ecohome 1 Block E4</t>
  </si>
  <si>
    <t>ECOHOME2BLOCKC1A</t>
  </si>
  <si>
    <t xml:space="preserve">Ecohome 2 Block C1A </t>
  </si>
  <si>
    <t>ECOHOME2BLOCKC1B</t>
  </si>
  <si>
    <t>Ecohome 2 Block C1B</t>
  </si>
  <si>
    <t>ECOHOME2BLOCKC2A</t>
  </si>
  <si>
    <t xml:space="preserve">Ecohome 2 Block C2A </t>
  </si>
  <si>
    <t>ECOHOME2BLOCKC2B</t>
  </si>
  <si>
    <t>Ecohome 2 Block C2B</t>
  </si>
  <si>
    <t>ECOHOME3BLOCKN02</t>
  </si>
  <si>
    <t>Ecohome 3 Block N02</t>
  </si>
  <si>
    <t>AN</t>
  </si>
  <si>
    <t>ECOHOME3BLOCKN03</t>
  </si>
  <si>
    <t>Ecohome 3 Block N03</t>
  </si>
  <si>
    <t>ECOHOMEPHUCLOIBLOCKA</t>
  </si>
  <si>
    <t>Ecohome Phúc Lợi Block A</t>
  </si>
  <si>
    <t>Lô Đất CT1, Phúc Lợi</t>
  </si>
  <si>
    <t>Long Biên</t>
  </si>
  <si>
    <t>ECOHOMEPHUCLOIBLOCKB</t>
  </si>
  <si>
    <t>Ecohome Phúc Lợi Block B</t>
  </si>
  <si>
    <t>CT3CONHUEBLOCKCT3A</t>
  </si>
  <si>
    <t>CT3 Cổ Nhuế Block CT3A</t>
  </si>
  <si>
    <t xml:space="preserve">Khu đô thị Nam Cường </t>
  </si>
  <si>
    <t>Từ Liêm</t>
  </si>
  <si>
    <t>CT3CONHUEBLOCKCT3B</t>
  </si>
  <si>
    <t>CT3 Cổ Nhuế Block CT3B</t>
  </si>
  <si>
    <t>CT3CONHUEBLOCKCT3C</t>
  </si>
  <si>
    <t>CT3 Cổ Nhuế Block CT3C</t>
  </si>
  <si>
    <t>CT3CONHUEBLOCKCT3D</t>
  </si>
  <si>
    <t>CT3 Cổ Nhuế Block CT3D</t>
  </si>
  <si>
    <t>Phoenix Tower Block A</t>
  </si>
  <si>
    <t xml:space="preserve"> 25 Lý Thái Tổ</t>
  </si>
  <si>
    <t>Võ Cường</t>
  </si>
  <si>
    <t>Bắc Ninh</t>
  </si>
  <si>
    <t>ĐỨC</t>
  </si>
  <si>
    <t>Phoenix Tower Block B</t>
  </si>
  <si>
    <t>VINHOMESBACNINHBLOCKSA</t>
  </si>
  <si>
    <t>Vinhomes Bắc Ninh Block SA</t>
  </si>
  <si>
    <t>1 Trần Hưng Đạo</t>
  </si>
  <si>
    <t>Suối Hoa</t>
  </si>
  <si>
    <t>VINHOMESBACNINHBLOCKSCZONEA</t>
  </si>
  <si>
    <t>Vinhomes Bắc Ninh Block SC Zone A</t>
  </si>
  <si>
    <t>VINHOMESBACNINHBLOCKSCZONEB</t>
  </si>
  <si>
    <t>Vinhomes Bắc Ninh Block SC Zone B</t>
  </si>
  <si>
    <t>CT7DUONGNOIA</t>
  </si>
  <si>
    <t>CT7 Dương Nội Block A</t>
  </si>
  <si>
    <t>Khu đô thị mới Dương Nội</t>
  </si>
  <si>
    <t>Dương Nội</t>
  </si>
  <si>
    <t>CT7DUONGNOIB</t>
  </si>
  <si>
    <t>CT7 Dương Nội Block B</t>
  </si>
  <si>
    <t>CT7DUONGNOIC</t>
  </si>
  <si>
    <t>CT7 Dương Nội Block C</t>
  </si>
  <si>
    <t>CT7DUONGNOID</t>
  </si>
  <si>
    <t>CT7 Dương Nội Block D</t>
  </si>
  <si>
    <t>CT7DUONGNOIE</t>
  </si>
  <si>
    <t>CT7 Dương Nội Block E</t>
  </si>
  <si>
    <t>CT7DUONGNOIF</t>
  </si>
  <si>
    <t>CT7 Dương Nội Block F</t>
  </si>
  <si>
    <t>CT7DUONGNOIG</t>
  </si>
  <si>
    <t>CT7 Dương Nội Block G</t>
  </si>
  <si>
    <t>HCGOLDENCITYA</t>
  </si>
  <si>
    <t>HC Golden City Block A</t>
  </si>
  <si>
    <t>Tổ 10 Bồ Đề</t>
  </si>
  <si>
    <t>Bồ Đề</t>
  </si>
  <si>
    <t>Café, Quán ăn, siêu chị, ngân hàng, Bể bơi</t>
  </si>
  <si>
    <t>HCGOLDENCITYB</t>
  </si>
  <si>
    <t>HC Golden City Block B</t>
  </si>
  <si>
    <t>HANHOMESBLUESTART1A</t>
  </si>
  <si>
    <t>Hanhomes Blue Star Block T1A</t>
  </si>
  <si>
    <t>Thành Trung, Trâu Quỳ</t>
  </si>
  <si>
    <t>Gia Lâm</t>
  </si>
  <si>
    <t>HANHOMESBLUESTART1B</t>
  </si>
  <si>
    <t>Hanhomes Blue Star Block T1B</t>
  </si>
  <si>
    <t>HANHOMESBLUESTART2A</t>
  </si>
  <si>
    <t>Hanhomes Blue Star Block T2A</t>
  </si>
  <si>
    <t>HANHOMESBLUESTART2B</t>
  </si>
  <si>
    <t>Hanhomes Blue Star Block T2B</t>
  </si>
  <si>
    <t xml:space="preserve"> Total  Ha Noi City _ ON AIR</t>
  </si>
  <si>
    <t xml:space="preserve"> Total  Ha Noi City _ ON GOING</t>
  </si>
  <si>
    <t>INDOCHINARIVERSIDEDANANG</t>
  </si>
  <si>
    <t>Indochina Riverside Đà Nẵng</t>
  </si>
  <si>
    <t>74 Bạch Đằng</t>
  </si>
  <si>
    <t>Hải Châu</t>
  </si>
  <si>
    <t>Đà Nẵng</t>
  </si>
  <si>
    <t>Shopping mall, Coffee Shop</t>
  </si>
  <si>
    <t>Khai thác từ ngày 15/05/2026 -  14/5/2029</t>
  </si>
  <si>
    <t>- Lắp mới  ngày 14/05/2026
+  06 DP 27 Logo Bên trong thang máy 
+ 02 DP 27 logo  bên ngoài tầng trệt (chờ reno lên 32logo)
+ 02 DP 27 logo  bên ngoài tầng hầm ( chờ reno lên 32 logo)</t>
  </si>
  <si>
    <t>Dũng</t>
  </si>
  <si>
    <t xml:space="preserve"> Total Da Nang _ON AIR</t>
  </si>
  <si>
    <t xml:space="preserve"> Total Da Nang _ON GOING</t>
  </si>
  <si>
    <t>TOTAL ON AIR</t>
  </si>
  <si>
    <t>TOTAL ON GOING</t>
  </si>
  <si>
    <t>Hệ thống</t>
  </si>
  <si>
    <t>Khu vực</t>
  </si>
  <si>
    <t>Số lượng
 toà nhà</t>
  </si>
  <si>
    <t>Traffic</t>
  </si>
  <si>
    <t>Số lượng 
thang máy</t>
  </si>
  <si>
    <t>Total</t>
  </si>
  <si>
    <t>Tỷ lệ (%)</t>
  </si>
  <si>
    <t>Digital Building</t>
  </si>
  <si>
    <t>Total Nationwide</t>
  </si>
  <si>
    <t xml:space="preserve"> TOTAL ON GOING</t>
  </si>
  <si>
    <t xml:space="preserve">Chữ đỏ </t>
  </si>
  <si>
    <t xml:space="preserve">Có Dán GP </t>
  </si>
  <si>
    <t>Tô cam</t>
  </si>
  <si>
    <t>Màn hình on air</t>
  </si>
  <si>
    <t>Tô nhạt</t>
  </si>
  <si>
    <t>Màn hình on going</t>
  </si>
  <si>
    <t>Tô xám:</t>
  </si>
  <si>
    <t>Tạm ngưng khai thác</t>
  </si>
  <si>
    <t>Tô xanh lá:</t>
  </si>
  <si>
    <t>Trường khai thác mới</t>
  </si>
  <si>
    <t>Tô vàng:</t>
  </si>
  <si>
    <t>Có điều chỉnh thông tin</t>
  </si>
  <si>
    <t>Tô cam:</t>
  </si>
  <si>
    <t>Decal trong</t>
  </si>
  <si>
    <t xml:space="preserve">INFORMATION OF LOCATION </t>
  </si>
  <si>
    <t>INFORMATION OF INVENTORY</t>
  </si>
  <si>
    <t>Habitat Block A1</t>
  </si>
  <si>
    <t>Habitat Block A2</t>
  </si>
  <si>
    <t>Bình Hòa</t>
  </si>
  <si>
    <t>Đại lộ, Hữu Nghị</t>
  </si>
  <si>
    <t>Citimart, Academy, Shophouse, Hồ bơi, Ngân hàng …</t>
  </si>
  <si>
    <t>Mỹ đình Pear 1 Sảnh 1</t>
  </si>
  <si>
    <t>MYĐINHPEAR1SANH1</t>
  </si>
  <si>
    <t>Mỹ đình Pear 1 Sảnh 2</t>
  </si>
  <si>
    <t>MYĐINHPEAR1SANH2</t>
  </si>
  <si>
    <t xml:space="preserve"> Từ Liêm</t>
  </si>
  <si>
    <t>1 Đ. Châu Văn Liêm</t>
  </si>
  <si>
    <t>Mỹ đình Pear 2 Sảnh 1</t>
  </si>
  <si>
    <t>Mỹ đình Pear 2 Sảnh 2</t>
  </si>
  <si>
    <t>MYĐINHPEAR2SANH1</t>
  </si>
  <si>
    <t>MYĐINHPEAR2SANH2</t>
  </si>
  <si>
    <t>Thanh Trì</t>
  </si>
  <si>
    <t>Khu đô thị Tứ Hiệp</t>
  </si>
  <si>
    <t>Tecco Diamond Block A</t>
  </si>
  <si>
    <t>Tecco Diamond Block B</t>
  </si>
  <si>
    <t>241 Xuân Thuỷ</t>
  </si>
  <si>
    <t>Dịch Vọng</t>
  </si>
  <si>
    <t>Indochina Plaza Tháp Đông</t>
  </si>
  <si>
    <t>Indochina Plaza Tháp Tây</t>
  </si>
  <si>
    <t>INDOCHINAPLAZATHAPĐONG</t>
  </si>
  <si>
    <t>INDOCHINAPLAZATHAPTAY</t>
  </si>
  <si>
    <t>Hà Đô Park View</t>
  </si>
  <si>
    <t>Lô No10, Khu ĐTM Dịch Vọng</t>
  </si>
  <si>
    <t>Cầu giấy</t>
  </si>
  <si>
    <t>HAĐOPARKVIEW</t>
  </si>
  <si>
    <t>VinHome SkyLake Block SA1</t>
  </si>
  <si>
    <t>50 Phạm Hùng</t>
  </si>
  <si>
    <t>Mỹ Đình</t>
  </si>
  <si>
    <t>VinHome SkyLake Block SA2A</t>
  </si>
  <si>
    <t>VinHome SkyLake Block SA2B</t>
  </si>
  <si>
    <t>VinHome SkyLake Block SA3A</t>
  </si>
  <si>
    <t>VinHome SkyLake Block SA3B</t>
  </si>
  <si>
    <t>Vincom, Vinshool, nhà hàng, salon tóc, thẩm mỹ viện, bể bơi v.v…</t>
  </si>
  <si>
    <t>Quảng trường, bể bơi, BBQ, Rạp chiếu phim, gym, siêu thị, trường học</t>
  </si>
  <si>
    <t>Siêu thị, trường mầm non, bể bơi 4 mùa, Khu vui chơi</t>
  </si>
  <si>
    <t>Siêu thị, Bể bơi, Gym, vườn hoa,  Hồ bơi,…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</si>
</sst>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#,##0;[Red]#,##0"/>
  </numFmts>
  <fonts count="44" x14ac:knownFonts="1">
    <font>
      <sz val="10"/>
      <color rgb="FF000000"/>
      <name val="Arial"/>
      <scheme val="minor"/>
    </font>
    <font>
      <b/>
      <sz val="19"/>
      <color rgb="FF783F04"/>
      <name val="Montserrat"/>
    </font>
    <font>
      <sz val="10"/>
      <name val="Arial"/>
      <family val="2"/>
    </font>
    <font>
      <sz val="8"/>
      <color theme="1"/>
      <name val="Cambria"/>
      <family val="1"/>
    </font>
    <font>
      <b/>
      <sz val="10"/>
      <color rgb="FFFFFFFF"/>
      <name val="Montserrat"/>
    </font>
    <font>
      <b/>
      <sz val="10"/>
      <color theme="0"/>
      <name val="Montserrat"/>
    </font>
    <font>
      <b/>
      <sz val="10"/>
      <color theme="1"/>
      <name val="Montserrat"/>
    </font>
    <font>
      <sz val="10"/>
      <color theme="0"/>
      <name val="Cambria"/>
      <family val="1"/>
    </font>
    <font>
      <b/>
      <sz val="10"/>
      <color rgb="FFFFFFFF"/>
      <name val="Montserrat"/>
    </font>
    <font>
      <b/>
      <sz val="10"/>
      <color rgb="FFFFFFFF"/>
      <name val="Cambria"/>
      <family val="1"/>
    </font>
    <font>
      <b/>
      <sz val="12"/>
      <color rgb="FFFFE082"/>
      <name val="Montserrat"/>
    </font>
    <font>
      <b/>
      <sz val="10"/>
      <color rgb="FFFF0000"/>
      <name val="Cambria"/>
      <family val="1"/>
    </font>
    <font>
      <sz val="10"/>
      <color theme="1"/>
      <name val="Montserrat"/>
    </font>
    <font>
      <b/>
      <sz val="10"/>
      <color rgb="FF000000"/>
      <name val="Montserrat"/>
    </font>
    <font>
      <sz val="10"/>
      <color rgb="FF000000"/>
      <name val="Montserrat"/>
    </font>
    <font>
      <b/>
      <sz val="10"/>
      <color rgb="FF990000"/>
      <name val="Montserrat"/>
    </font>
    <font>
      <sz val="10"/>
      <color theme="1"/>
      <name val="Cambria"/>
      <family val="1"/>
    </font>
    <font>
      <sz val="10"/>
      <color rgb="FFFF0000"/>
      <name val="Montserrat"/>
    </font>
    <font>
      <b/>
      <sz val="10"/>
      <color rgb="FFFF0000"/>
      <name val="Montserrat"/>
    </font>
    <font>
      <sz val="11"/>
      <color theme="1"/>
      <name val="Cambria"/>
      <family val="1"/>
    </font>
    <font>
      <sz val="10"/>
      <color theme="1"/>
      <name val="Arial"/>
      <family val="2"/>
    </font>
    <font>
      <b/>
      <sz val="11"/>
      <color rgb="FF990000"/>
      <name val="Montserrat"/>
    </font>
    <font>
      <b/>
      <sz val="8"/>
      <color rgb="FF301900"/>
      <name val="Montserrat"/>
    </font>
    <font>
      <b/>
      <sz val="10"/>
      <color rgb="FF301900"/>
      <name val="Montserrat"/>
    </font>
    <font>
      <sz val="10"/>
      <color rgb="FF301900"/>
      <name val="Montserrat"/>
    </font>
    <font>
      <b/>
      <sz val="10"/>
      <color rgb="FFFFE100"/>
      <name val="Montserrat"/>
    </font>
    <font>
      <sz val="10"/>
      <color theme="1"/>
      <name val="Cambria"/>
      <family val="1"/>
    </font>
    <font>
      <b/>
      <sz val="8"/>
      <color rgb="FF301800"/>
      <name val="Montserrat"/>
    </font>
    <font>
      <b/>
      <sz val="10"/>
      <color rgb="FF301800"/>
      <name val="Montserrat"/>
    </font>
    <font>
      <b/>
      <sz val="10"/>
      <color rgb="FFCC0000"/>
      <name val="Montserrat"/>
    </font>
    <font>
      <b/>
      <sz val="10"/>
      <color rgb="FFA61C00"/>
      <name val="Cambria"/>
      <family val="1"/>
    </font>
    <font>
      <sz val="10"/>
      <color theme="1"/>
      <name val="Calibri"/>
      <family val="2"/>
    </font>
    <font>
      <b/>
      <sz val="10"/>
      <color rgb="FF000000"/>
      <name val="Cambria"/>
      <family val="1"/>
    </font>
    <font>
      <sz val="10"/>
      <color theme="1"/>
      <name val="Arial"/>
      <family val="2"/>
      <scheme val="minor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7"/>
      <color rgb="FFFFFFFF"/>
      <name val="Montserrat"/>
    </font>
    <font>
      <b/>
      <sz val="8"/>
      <color rgb="FFFFFFFF"/>
      <name val="Montserrat"/>
    </font>
    <font>
      <b/>
      <sz val="8"/>
      <color rgb="FFFFE082"/>
      <name val="Montserrat"/>
    </font>
    <font>
      <b/>
      <sz val="9"/>
      <color rgb="FFFFE082"/>
      <name val="Montserrat"/>
    </font>
    <font>
      <b/>
      <sz val="16"/>
      <color theme="0"/>
      <name val="Montserrat"/>
    </font>
    <font>
      <b/>
      <sz val="8"/>
      <color theme="0"/>
      <name val="Montserrat"/>
    </font>
  </fonts>
  <fills count="3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B2B2B"/>
        <bgColor rgb="FF2B2B2B"/>
      </patternFill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FFFBF3"/>
        <bgColor rgb="FFFFFBF3"/>
      </patternFill>
    </fill>
    <fill>
      <patternFill patternType="solid">
        <fgColor rgb="FFF7EFC0"/>
        <bgColor rgb="FFF7EFC0"/>
      </patternFill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  <fill>
      <patternFill patternType="solid">
        <fgColor rgb="FFDAEBCF"/>
        <bgColor rgb="FFDAEBCF"/>
      </patternFill>
    </fill>
    <fill>
      <patternFill patternType="solid">
        <fgColor rgb="FFF7F4EA"/>
        <bgColor rgb="FFF7F4EA"/>
      </patternFill>
    </fill>
    <fill>
      <patternFill patternType="solid">
        <fgColor rgb="FFFFFDF6"/>
        <bgColor rgb="FFFFFDF6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D75C"/>
        <bgColor rgb="FFFFD75C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36C09"/>
        <bgColor rgb="FFE36C09"/>
      </patternFill>
    </fill>
    <fill>
      <patternFill patternType="solid">
        <fgColor theme="3"/>
        <bgColor rgb="FF3C3C3C"/>
      </patternFill>
    </fill>
    <fill>
      <patternFill patternType="solid">
        <fgColor theme="3"/>
        <bgColor rgb="FF2B2B2B"/>
      </patternFill>
    </fill>
    <fill>
      <patternFill patternType="solid">
        <fgColor theme="3"/>
        <bgColor rgb="FF171717"/>
      </patternFill>
    </fill>
    <fill>
      <patternFill patternType="solid">
        <fgColor theme="3"/>
        <bgColor rgb="FF212121"/>
      </patternFill>
    </fill>
    <fill>
      <patternFill patternType="solid">
        <fgColor theme="3"/>
        <bgColor rgb="FFF4B800"/>
      </patternFill>
    </fill>
    <fill>
      <patternFill patternType="solid">
        <fgColor theme="3"/>
        <bgColor rgb="FFFF9900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rgb="FF00000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249977111117893"/>
        <bgColor rgb="FFFF9900"/>
      </patternFill>
    </fill>
    <fill>
      <patternFill patternType="solid">
        <fgColor theme="3"/>
        <bgColor rgb="FF3E3E3E"/>
      </patternFill>
    </fill>
    <fill>
      <patternFill patternType="solid">
        <fgColor theme="3"/>
        <bgColor rgb="FFFFC822"/>
      </patternFill>
    </fill>
  </fills>
  <borders count="17">
    <border>
      <left/>
      <right/>
      <top/>
      <bottom/>
      <diagonal/>
    </border>
    <border>
      <left/>
      <right style="thin">
        <color rgb="FFD9D9D9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FFE082"/>
      </bottom>
      <diagonal/>
    </border>
    <border>
      <left/>
      <right style="thin">
        <color rgb="FFD9D9D9"/>
      </right>
      <top/>
      <bottom style="thin">
        <color rgb="FFFFE08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D966"/>
      </bottom>
      <diagonal/>
    </border>
    <border>
      <left/>
      <right style="thin">
        <color rgb="FFD9D9D9"/>
      </right>
      <top/>
      <bottom style="thin">
        <color rgb="FFFFD9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thin">
        <color rgb="FFFFE599"/>
      </bottom>
      <diagonal/>
    </border>
    <border>
      <left/>
      <right style="thin">
        <color rgb="FFD9D9D9"/>
      </right>
      <top/>
      <bottom style="thin">
        <color rgb="FFFFE59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3" fillId="2" borderId="2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8" borderId="11" xfId="0" applyFont="1" applyFill="1" applyBorder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1" fontId="14" fillId="2" borderId="0" xfId="0" applyNumberFormat="1" applyFont="1" applyFill="1" applyAlignment="1">
      <alignment horizontal="center" vertical="center"/>
    </xf>
    <xf numFmtId="1" fontId="12" fillId="10" borderId="0" xfId="0" applyNumberFormat="1" applyFont="1" applyFill="1" applyAlignment="1">
      <alignment horizontal="center" vertical="center"/>
    </xf>
    <xf numFmtId="41" fontId="14" fillId="2" borderId="0" xfId="0" applyNumberFormat="1" applyFont="1" applyFill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3" fontId="14" fillId="11" borderId="0" xfId="0" applyNumberFormat="1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16" fillId="13" borderId="9" xfId="0" applyFont="1" applyFill="1" applyBorder="1" applyAlignment="1">
      <alignment horizontal="center" wrapText="1"/>
    </xf>
    <xf numFmtId="0" fontId="16" fillId="13" borderId="9" xfId="0" applyFont="1" applyFill="1" applyBorder="1" applyAlignment="1">
      <alignment wrapText="1"/>
    </xf>
    <xf numFmtId="0" fontId="16" fillId="0" borderId="9" xfId="0" applyFont="1" applyBorder="1" applyAlignment="1">
      <alignment wrapText="1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9" fillId="0" borderId="9" xfId="0" applyFont="1" applyBorder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9" fillId="13" borderId="9" xfId="0" applyFont="1" applyFill="1" applyBorder="1" applyAlignment="1">
      <alignment horizontal="center" wrapText="1"/>
    </xf>
    <xf numFmtId="0" fontId="12" fillId="11" borderId="0" xfId="0" applyFont="1" applyFill="1" applyAlignment="1">
      <alignment horizontal="center" vertical="center"/>
    </xf>
    <xf numFmtId="0" fontId="14" fillId="8" borderId="11" xfId="0" applyFont="1" applyFill="1" applyBorder="1" applyAlignment="1">
      <alignment vertical="center" wrapText="1"/>
    </xf>
    <xf numFmtId="0" fontId="14" fillId="8" borderId="0" xfId="0" applyFont="1" applyFill="1" applyAlignment="1">
      <alignment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3" fontId="14" fillId="8" borderId="0" xfId="0" applyNumberFormat="1" applyFont="1" applyFill="1" applyAlignment="1">
      <alignment horizontal="center" vertical="center"/>
    </xf>
    <xf numFmtId="1" fontId="14" fillId="8" borderId="1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3" fillId="11" borderId="10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20" fillId="13" borderId="9" xfId="0" applyFont="1" applyFill="1" applyBorder="1"/>
    <xf numFmtId="0" fontId="20" fillId="0" borderId="9" xfId="0" applyFont="1" applyBorder="1"/>
    <xf numFmtId="0" fontId="18" fillId="11" borderId="10" xfId="0" applyFont="1" applyFill="1" applyBorder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14" borderId="0" xfId="0" applyFont="1" applyFill="1" applyAlignment="1">
      <alignment horizontal="center" vertical="center" wrapText="1"/>
    </xf>
    <xf numFmtId="0" fontId="23" fillId="14" borderId="0" xfId="0" applyFont="1" applyFill="1" applyAlignment="1">
      <alignment horizontal="center" vertical="center" wrapText="1"/>
    </xf>
    <xf numFmtId="0" fontId="24" fillId="14" borderId="0" xfId="0" applyFont="1" applyFill="1" applyAlignment="1">
      <alignment vertical="center"/>
    </xf>
    <xf numFmtId="164" fontId="23" fillId="14" borderId="0" xfId="0" applyNumberFormat="1" applyFont="1" applyFill="1" applyAlignment="1">
      <alignment horizontal="center" vertical="center" wrapText="1"/>
    </xf>
    <xf numFmtId="164" fontId="25" fillId="14" borderId="0" xfId="0" applyNumberFormat="1" applyFont="1" applyFill="1" applyAlignment="1">
      <alignment horizontal="center" vertical="center" wrapText="1"/>
    </xf>
    <xf numFmtId="164" fontId="23" fillId="14" borderId="0" xfId="0" applyNumberFormat="1" applyFont="1" applyFill="1" applyAlignment="1">
      <alignment horizontal="right" vertical="center" wrapText="1"/>
    </xf>
    <xf numFmtId="0" fontId="23" fillId="14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left" vertical="center"/>
    </xf>
    <xf numFmtId="0" fontId="24" fillId="14" borderId="1" xfId="0" applyFont="1" applyFill="1" applyBorder="1" applyAlignment="1">
      <alignment horizontal="left" vertical="center"/>
    </xf>
    <xf numFmtId="0" fontId="22" fillId="15" borderId="0" xfId="0" applyFont="1" applyFill="1" applyAlignment="1">
      <alignment horizontal="center" vertical="center" wrapText="1"/>
    </xf>
    <xf numFmtId="0" fontId="23" fillId="15" borderId="0" xfId="0" applyFont="1" applyFill="1" applyAlignment="1">
      <alignment horizontal="center" vertical="center" wrapText="1"/>
    </xf>
    <xf numFmtId="0" fontId="24" fillId="15" borderId="0" xfId="0" applyFont="1" applyFill="1" applyAlignment="1">
      <alignment vertical="center"/>
    </xf>
    <xf numFmtId="164" fontId="23" fillId="15" borderId="0" xfId="0" applyNumberFormat="1" applyFont="1" applyFill="1" applyAlignment="1">
      <alignment horizontal="center" vertical="center" wrapText="1"/>
    </xf>
    <xf numFmtId="164" fontId="25" fillId="15" borderId="0" xfId="0" applyNumberFormat="1" applyFont="1" applyFill="1" applyAlignment="1">
      <alignment horizontal="center" vertical="center" wrapText="1"/>
    </xf>
    <xf numFmtId="164" fontId="23" fillId="15" borderId="0" xfId="0" applyNumberFormat="1" applyFont="1" applyFill="1" applyAlignment="1">
      <alignment horizontal="right" vertical="center" wrapText="1"/>
    </xf>
    <xf numFmtId="0" fontId="23" fillId="15" borderId="0" xfId="0" applyFont="1" applyFill="1" applyAlignment="1">
      <alignment horizontal="center" vertical="center"/>
    </xf>
    <xf numFmtId="0" fontId="24" fillId="15" borderId="0" xfId="0" applyFont="1" applyFill="1" applyAlignment="1">
      <alignment horizontal="left" vertical="center"/>
    </xf>
    <xf numFmtId="0" fontId="24" fillId="15" borderId="1" xfId="0" applyFont="1" applyFill="1" applyBorder="1" applyAlignment="1">
      <alignment horizontal="left" vertical="center"/>
    </xf>
    <xf numFmtId="0" fontId="18" fillId="7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41" fontId="14" fillId="2" borderId="0" xfId="0" applyNumberFormat="1" applyFont="1" applyFill="1" applyAlignment="1">
      <alignment vertical="center"/>
    </xf>
    <xf numFmtId="0" fontId="19" fillId="13" borderId="9" xfId="0" applyFont="1" applyFill="1" applyBorder="1" applyAlignment="1">
      <alignment wrapText="1"/>
    </xf>
    <xf numFmtId="0" fontId="13" fillId="7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left" vertical="center"/>
    </xf>
    <xf numFmtId="0" fontId="23" fillId="14" borderId="1" xfId="0" applyFont="1" applyFill="1" applyBorder="1" applyAlignment="1">
      <alignment horizontal="left" vertical="center"/>
    </xf>
    <xf numFmtId="0" fontId="22" fillId="15" borderId="7" xfId="0" applyFont="1" applyFill="1" applyBorder="1" applyAlignment="1">
      <alignment horizontal="center" vertical="center" wrapText="1"/>
    </xf>
    <xf numFmtId="0" fontId="23" fillId="15" borderId="7" xfId="0" applyFont="1" applyFill="1" applyBorder="1" applyAlignment="1">
      <alignment horizontal="center" vertical="center" wrapText="1"/>
    </xf>
    <xf numFmtId="0" fontId="24" fillId="15" borderId="7" xfId="0" applyFont="1" applyFill="1" applyBorder="1" applyAlignment="1">
      <alignment vertical="center"/>
    </xf>
    <xf numFmtId="164" fontId="23" fillId="15" borderId="7" xfId="0" applyNumberFormat="1" applyFont="1" applyFill="1" applyBorder="1" applyAlignment="1">
      <alignment horizontal="center" vertical="center" wrapText="1"/>
    </xf>
    <xf numFmtId="164" fontId="25" fillId="15" borderId="7" xfId="0" applyNumberFormat="1" applyFont="1" applyFill="1" applyBorder="1" applyAlignment="1">
      <alignment horizontal="center" vertical="center" wrapText="1"/>
    </xf>
    <xf numFmtId="164" fontId="23" fillId="15" borderId="7" xfId="0" applyNumberFormat="1" applyFont="1" applyFill="1" applyBorder="1" applyAlignment="1">
      <alignment horizontal="right" vertical="center" wrapText="1"/>
    </xf>
    <xf numFmtId="0" fontId="23" fillId="15" borderId="7" xfId="0" applyFont="1" applyFill="1" applyBorder="1" applyAlignment="1">
      <alignment horizontal="center" vertical="center"/>
    </xf>
    <xf numFmtId="0" fontId="24" fillId="15" borderId="7" xfId="0" applyFont="1" applyFill="1" applyBorder="1" applyAlignment="1">
      <alignment horizontal="left" vertical="center"/>
    </xf>
    <xf numFmtId="0" fontId="24" fillId="15" borderId="8" xfId="0" applyFont="1" applyFill="1" applyBorder="1" applyAlignment="1">
      <alignment horizontal="left" vertical="center"/>
    </xf>
    <xf numFmtId="0" fontId="12" fillId="2" borderId="1" xfId="0" quotePrefix="1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vertical="center"/>
    </xf>
    <xf numFmtId="0" fontId="26" fillId="2" borderId="0" xfId="0" applyFont="1" applyFill="1" applyAlignment="1">
      <alignment vertical="center"/>
    </xf>
    <xf numFmtId="0" fontId="27" fillId="16" borderId="13" xfId="0" applyFont="1" applyFill="1" applyBorder="1" applyAlignment="1">
      <alignment horizontal="center" vertical="center" wrapText="1"/>
    </xf>
    <xf numFmtId="0" fontId="28" fillId="16" borderId="13" xfId="0" applyFont="1" applyFill="1" applyBorder="1" applyAlignment="1">
      <alignment vertical="center" wrapText="1"/>
    </xf>
    <xf numFmtId="164" fontId="28" fillId="16" borderId="13" xfId="0" applyNumberFormat="1" applyFont="1" applyFill="1" applyBorder="1" applyAlignment="1">
      <alignment horizontal="center" vertical="center" wrapText="1"/>
    </xf>
    <xf numFmtId="164" fontId="29" fillId="16" borderId="13" xfId="0" applyNumberFormat="1" applyFont="1" applyFill="1" applyBorder="1" applyAlignment="1">
      <alignment horizontal="center" vertical="center" wrapText="1"/>
    </xf>
    <xf numFmtId="164" fontId="28" fillId="16" borderId="13" xfId="0" applyNumberFormat="1" applyFont="1" applyFill="1" applyBorder="1" applyAlignment="1">
      <alignment horizontal="right" vertical="center" wrapText="1"/>
    </xf>
    <xf numFmtId="0" fontId="28" fillId="16" borderId="14" xfId="0" applyFont="1" applyFill="1" applyBorder="1" applyAlignment="1">
      <alignment vertical="center" wrapText="1"/>
    </xf>
    <xf numFmtId="0" fontId="27" fillId="17" borderId="0" xfId="0" applyFont="1" applyFill="1" applyAlignment="1">
      <alignment horizontal="center" vertical="center" wrapText="1"/>
    </xf>
    <xf numFmtId="0" fontId="28" fillId="17" borderId="0" xfId="0" applyFont="1" applyFill="1" applyAlignment="1">
      <alignment vertical="center" wrapText="1"/>
    </xf>
    <xf numFmtId="164" fontId="28" fillId="17" borderId="0" xfId="0" applyNumberFormat="1" applyFont="1" applyFill="1" applyAlignment="1">
      <alignment horizontal="center" vertical="center" wrapText="1"/>
    </xf>
    <xf numFmtId="164" fontId="29" fillId="17" borderId="0" xfId="0" applyNumberFormat="1" applyFont="1" applyFill="1" applyAlignment="1">
      <alignment horizontal="center" vertical="center" wrapText="1"/>
    </xf>
    <xf numFmtId="164" fontId="28" fillId="17" borderId="0" xfId="0" applyNumberFormat="1" applyFont="1" applyFill="1" applyAlignment="1">
      <alignment horizontal="right" vertical="center" wrapText="1"/>
    </xf>
    <xf numFmtId="0" fontId="28" fillId="17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/>
    </xf>
    <xf numFmtId="1" fontId="16" fillId="0" borderId="9" xfId="0" applyNumberFormat="1" applyFont="1" applyBorder="1" applyAlignment="1">
      <alignment horizontal="center"/>
    </xf>
    <xf numFmtId="3" fontId="16" fillId="0" borderId="9" xfId="0" applyNumberFormat="1" applyFont="1" applyBorder="1" applyAlignment="1">
      <alignment horizontal="center"/>
    </xf>
    <xf numFmtId="9" fontId="16" fillId="0" borderId="9" xfId="0" applyNumberFormat="1" applyFont="1" applyBorder="1" applyAlignment="1">
      <alignment horizontal="center"/>
    </xf>
    <xf numFmtId="164" fontId="16" fillId="0" borderId="9" xfId="0" applyNumberFormat="1" applyFont="1" applyBorder="1" applyAlignment="1">
      <alignment horizontal="center"/>
    </xf>
    <xf numFmtId="1" fontId="26" fillId="0" borderId="9" xfId="0" applyNumberFormat="1" applyFont="1" applyBorder="1" applyAlignment="1">
      <alignment horizontal="center"/>
    </xf>
    <xf numFmtId="1" fontId="31" fillId="0" borderId="9" xfId="0" applyNumberFormat="1" applyFont="1" applyBorder="1" applyAlignment="1">
      <alignment horizontal="center"/>
    </xf>
    <xf numFmtId="1" fontId="32" fillId="14" borderId="9" xfId="0" applyNumberFormat="1" applyFont="1" applyFill="1" applyBorder="1" applyAlignment="1">
      <alignment horizontal="center"/>
    </xf>
    <xf numFmtId="3" fontId="32" fillId="14" borderId="9" xfId="0" applyNumberFormat="1" applyFont="1" applyFill="1" applyBorder="1" applyAlignment="1">
      <alignment horizontal="center"/>
    </xf>
    <xf numFmtId="9" fontId="32" fillId="14" borderId="9" xfId="0" applyNumberFormat="1" applyFont="1" applyFill="1" applyBorder="1" applyAlignment="1">
      <alignment horizontal="center"/>
    </xf>
    <xf numFmtId="0" fontId="33" fillId="0" borderId="0" xfId="0" applyFont="1"/>
    <xf numFmtId="0" fontId="34" fillId="0" borderId="0" xfId="0" applyFont="1" applyAlignment="1">
      <alignment horizontal="center"/>
    </xf>
    <xf numFmtId="0" fontId="35" fillId="0" borderId="0" xfId="0" applyFont="1"/>
    <xf numFmtId="0" fontId="36" fillId="7" borderId="10" xfId="0" applyFont="1" applyFill="1" applyBorder="1" applyAlignment="1">
      <alignment horizontal="center" vertical="center"/>
    </xf>
    <xf numFmtId="0" fontId="36" fillId="11" borderId="10" xfId="0" applyFont="1" applyFill="1" applyBorder="1" applyAlignment="1">
      <alignment horizontal="center" vertical="center"/>
    </xf>
    <xf numFmtId="0" fontId="37" fillId="18" borderId="0" xfId="0" applyFont="1" applyFill="1" applyAlignment="1">
      <alignment horizontal="center"/>
    </xf>
    <xf numFmtId="0" fontId="37" fillId="0" borderId="0" xfId="0" applyFont="1"/>
    <xf numFmtId="0" fontId="37" fillId="19" borderId="0" xfId="0" applyFont="1" applyFill="1" applyAlignment="1">
      <alignment horizontal="center"/>
    </xf>
    <xf numFmtId="0" fontId="37" fillId="20" borderId="0" xfId="0" applyFont="1" applyFill="1" applyAlignment="1">
      <alignment horizontal="center"/>
    </xf>
    <xf numFmtId="0" fontId="37" fillId="21" borderId="0" xfId="0" applyFont="1" applyFill="1" applyAlignment="1">
      <alignment horizontal="center"/>
    </xf>
    <xf numFmtId="0" fontId="4" fillId="22" borderId="3" xfId="0" applyFont="1" applyFill="1" applyBorder="1" applyAlignment="1">
      <alignment horizontal="center" vertical="center" wrapText="1"/>
    </xf>
    <xf numFmtId="0" fontId="5" fillId="23" borderId="3" xfId="0" applyFont="1" applyFill="1" applyBorder="1" applyAlignment="1">
      <alignment horizontal="center" vertical="center" wrapText="1"/>
    </xf>
    <xf numFmtId="41" fontId="5" fillId="24" borderId="3" xfId="0" applyNumberFormat="1" applyFont="1" applyFill="1" applyBorder="1" applyAlignment="1">
      <alignment vertical="center" wrapText="1"/>
    </xf>
    <xf numFmtId="41" fontId="4" fillId="25" borderId="3" xfId="0" applyNumberFormat="1" applyFont="1" applyFill="1" applyBorder="1" applyAlignment="1">
      <alignment horizontal="center" vertical="center" wrapText="1"/>
    </xf>
    <xf numFmtId="0" fontId="4" fillId="23" borderId="3" xfId="0" applyFont="1" applyFill="1" applyBorder="1" applyAlignment="1">
      <alignment horizontal="center" vertical="center" wrapText="1"/>
    </xf>
    <xf numFmtId="0" fontId="5" fillId="25" borderId="3" xfId="0" applyFont="1" applyFill="1" applyBorder="1" applyAlignment="1">
      <alignment horizontal="center" vertical="center" wrapText="1"/>
    </xf>
    <xf numFmtId="0" fontId="5" fillId="23" borderId="4" xfId="0" applyFont="1" applyFill="1" applyBorder="1" applyAlignment="1">
      <alignment horizontal="center" vertical="center" wrapText="1"/>
    </xf>
    <xf numFmtId="0" fontId="0" fillId="28" borderId="0" xfId="0" applyFill="1"/>
    <xf numFmtId="0" fontId="11" fillId="31" borderId="9" xfId="0" applyFont="1" applyFill="1" applyBorder="1" applyAlignment="1">
      <alignment horizontal="center" wrapText="1"/>
    </xf>
    <xf numFmtId="0" fontId="0" fillId="30" borderId="0" xfId="0" applyFill="1"/>
    <xf numFmtId="0" fontId="4" fillId="32" borderId="0" xfId="0" applyFont="1" applyFill="1" applyAlignment="1">
      <alignment horizontal="center" vertical="center" wrapText="1"/>
    </xf>
    <xf numFmtId="0" fontId="7" fillId="28" borderId="0" xfId="0" applyFont="1" applyFill="1" applyAlignment="1">
      <alignment vertical="center"/>
    </xf>
    <xf numFmtId="0" fontId="43" fillId="26" borderId="3" xfId="0" applyFont="1" applyFill="1" applyBorder="1" applyAlignment="1">
      <alignment horizontal="center" vertical="center" wrapText="1"/>
    </xf>
    <xf numFmtId="0" fontId="5" fillId="26" borderId="3" xfId="0" applyFont="1" applyFill="1" applyBorder="1" applyAlignment="1">
      <alignment horizontal="center" vertical="center" wrapText="1"/>
    </xf>
    <xf numFmtId="0" fontId="28" fillId="16" borderId="13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8" fillId="17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8" fillId="27" borderId="0" xfId="0" applyFont="1" applyFill="1" applyAlignment="1">
      <alignment horizontal="center" wrapText="1"/>
    </xf>
    <xf numFmtId="0" fontId="0" fillId="28" borderId="0" xfId="0" applyFill="1"/>
    <xf numFmtId="0" fontId="9" fillId="27" borderId="5" xfId="0" applyFont="1" applyFill="1" applyBorder="1" applyAlignment="1">
      <alignment horizontal="center" wrapText="1"/>
    </xf>
    <xf numFmtId="0" fontId="2" fillId="28" borderId="6" xfId="0" applyFont="1" applyFill="1" applyBorder="1"/>
    <xf numFmtId="0" fontId="10" fillId="29" borderId="7" xfId="0" applyFont="1" applyFill="1" applyBorder="1" applyAlignment="1">
      <alignment horizontal="left" vertical="center" wrapText="1"/>
    </xf>
    <xf numFmtId="0" fontId="2" fillId="30" borderId="7" xfId="0" applyFont="1" applyFill="1" applyBorder="1"/>
    <xf numFmtId="0" fontId="2" fillId="30" borderId="8" xfId="0" applyFont="1" applyFill="1" applyBorder="1"/>
    <xf numFmtId="0" fontId="23" fillId="14" borderId="0" xfId="0" applyFont="1" applyFill="1" applyAlignment="1">
      <alignment horizontal="center" vertical="center" wrapText="1"/>
    </xf>
    <xf numFmtId="0" fontId="10" fillId="5" borderId="7" xfId="0" applyFont="1" applyFill="1" applyBorder="1" applyAlignment="1">
      <alignment horizontal="left" vertical="center" wrapText="1"/>
    </xf>
    <xf numFmtId="0" fontId="2" fillId="0" borderId="7" xfId="0" applyFont="1" applyBorder="1"/>
    <xf numFmtId="0" fontId="2" fillId="0" borderId="8" xfId="0" applyFont="1" applyBorder="1"/>
    <xf numFmtId="0" fontId="10" fillId="5" borderId="0" xfId="0" applyFont="1" applyFill="1" applyAlignment="1">
      <alignment horizontal="left" vertical="center" wrapText="1"/>
    </xf>
    <xf numFmtId="0" fontId="42" fillId="32" borderId="0" xfId="0" applyFont="1" applyFill="1" applyAlignment="1">
      <alignment horizontal="center" vertical="center" wrapText="1"/>
    </xf>
    <xf numFmtId="0" fontId="42" fillId="33" borderId="2" xfId="0" applyFont="1" applyFill="1" applyBorder="1" applyAlignment="1">
      <alignment horizontal="center" vertical="center" wrapText="1"/>
    </xf>
    <xf numFmtId="0" fontId="42" fillId="33" borderId="1" xfId="0" applyFont="1" applyFill="1" applyBorder="1" applyAlignment="1">
      <alignment horizontal="center" vertical="center" wrapText="1"/>
    </xf>
    <xf numFmtId="0" fontId="23" fillId="15" borderId="0" xfId="0" applyFont="1" applyFill="1" applyAlignment="1">
      <alignment horizontal="center" vertical="center" wrapText="1"/>
    </xf>
    <xf numFmtId="0" fontId="23" fillId="15" borderId="7" xfId="0" applyFont="1" applyFill="1" applyBorder="1" applyAlignment="1">
      <alignment horizontal="center" vertical="center" wrapText="1"/>
    </xf>
    <xf numFmtId="0" fontId="32" fillId="14" borderId="5" xfId="0" applyFont="1" applyFill="1" applyBorder="1" applyAlignment="1">
      <alignment horizontal="center"/>
    </xf>
    <xf numFmtId="0" fontId="2" fillId="0" borderId="6" xfId="0" applyFont="1" applyBorder="1"/>
    <xf numFmtId="0" fontId="30" fillId="0" borderId="0" xfId="0" applyFont="1" applyAlignment="1">
      <alignment horizontal="center"/>
    </xf>
    <xf numFmtId="0" fontId="16" fillId="0" borderId="15" xfId="0" applyFont="1" applyBorder="1" applyAlignment="1">
      <alignment horizontal="center" vertical="center" wrapText="1"/>
    </xf>
    <xf numFmtId="0" fontId="2" fillId="0" borderId="15" xfId="0" applyFont="1" applyBorder="1"/>
    <xf numFmtId="0" fontId="2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37"/>
  <sheetViews>
    <sheetView showGridLines="0" tabSelected="1" topLeftCell="B1" zoomScale="83" zoomScaleNormal="40" workbookViewId="0">
      <pane ySplit="3" topLeftCell="A70" activePane="bottomLeft" state="frozen"/>
      <selection pane="bottomLeft" activeCell="V124" sqref="V124:V125"/>
    </sheetView>
  </sheetViews>
  <sheetFormatPr baseColWidth="10" defaultColWidth="12.6640625" defaultRowHeight="15.75" customHeight="1" outlineLevelCol="2" x14ac:dyDescent="0.15"/>
  <cols>
    <col min="1" max="1" width="8.33203125" customWidth="1"/>
    <col min="2" max="2" width="10.6640625" customWidth="1"/>
    <col min="3" max="3" width="43.1640625" customWidth="1"/>
    <col min="4" max="4" width="3.6640625" customWidth="1"/>
    <col min="5" max="5" width="46.5" customWidth="1"/>
    <col min="6" max="6" width="4.83203125" customWidth="1"/>
    <col min="7" max="7" width="33.5" customWidth="1"/>
    <col min="8" max="9" width="16.6640625" customWidth="1"/>
    <col min="10" max="10" width="33.5" hidden="1" customWidth="1"/>
    <col min="11" max="11" width="16.5" hidden="1" customWidth="1"/>
    <col min="12" max="12" width="13.6640625" hidden="1" customWidth="1"/>
    <col min="13" max="13" width="12.33203125" customWidth="1"/>
    <col min="14" max="16" width="11.6640625" customWidth="1"/>
    <col min="17" max="17" width="13.5" customWidth="1"/>
    <col min="18" max="18" width="16.1640625" customWidth="1"/>
    <col min="19" max="19" width="13.5" customWidth="1"/>
    <col min="20" max="22" width="13.1640625" customWidth="1"/>
    <col min="23" max="25" width="12.6640625" customWidth="1"/>
    <col min="26" max="26" width="48.33203125" customWidth="1"/>
    <col min="27" max="27" width="41.6640625" customWidth="1"/>
    <col min="28" max="28" width="5.5" customWidth="1"/>
    <col min="29" max="29" width="41.6640625" customWidth="1"/>
    <col min="30" max="30" width="39.1640625" customWidth="1"/>
    <col min="31" max="34" width="16.1640625" hidden="1" customWidth="1" outlineLevel="2"/>
    <col min="35" max="35" width="12.6640625" collapsed="1"/>
  </cols>
  <sheetData>
    <row r="1" spans="1:34" ht="42" customHeight="1" x14ac:dyDescent="0.15">
      <c r="A1" s="154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5"/>
      <c r="AE1" s="1"/>
      <c r="AF1" s="2"/>
      <c r="AG1" s="2"/>
      <c r="AH1" s="2"/>
    </row>
    <row r="2" spans="1:34" s="143" customFormat="1" ht="46" customHeight="1" x14ac:dyDescent="0.15">
      <c r="A2" s="146"/>
      <c r="B2" s="168" t="s">
        <v>361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9" t="s">
        <v>362</v>
      </c>
      <c r="U2" s="169"/>
      <c r="V2" s="169"/>
      <c r="W2" s="169"/>
      <c r="X2" s="169"/>
      <c r="Y2" s="169"/>
      <c r="Z2" s="169"/>
      <c r="AA2" s="169"/>
      <c r="AB2" s="169"/>
      <c r="AC2" s="169"/>
      <c r="AD2" s="170"/>
      <c r="AE2" s="147"/>
      <c r="AF2" s="147"/>
      <c r="AG2" s="147"/>
      <c r="AH2" s="147"/>
    </row>
    <row r="3" spans="1:34" s="143" customFormat="1" ht="46" customHeight="1" x14ac:dyDescent="0.15">
      <c r="A3" s="136" t="s">
        <v>1</v>
      </c>
      <c r="B3" s="137" t="s">
        <v>2</v>
      </c>
      <c r="C3" s="137" t="s">
        <v>3</v>
      </c>
      <c r="D3" s="137"/>
      <c r="E3" s="137" t="s">
        <v>4</v>
      </c>
      <c r="F3" s="137"/>
      <c r="G3" s="137" t="s">
        <v>5</v>
      </c>
      <c r="H3" s="137" t="s">
        <v>6</v>
      </c>
      <c r="I3" s="137" t="s">
        <v>7</v>
      </c>
      <c r="J3" s="137" t="s">
        <v>8</v>
      </c>
      <c r="K3" s="137" t="s">
        <v>9</v>
      </c>
      <c r="L3" s="137" t="s">
        <v>10</v>
      </c>
      <c r="M3" s="137" t="s">
        <v>11</v>
      </c>
      <c r="N3" s="137" t="s">
        <v>12</v>
      </c>
      <c r="O3" s="137" t="s">
        <v>13</v>
      </c>
      <c r="P3" s="137" t="s">
        <v>14</v>
      </c>
      <c r="Q3" s="138" t="s">
        <v>15</v>
      </c>
      <c r="R3" s="139" t="s">
        <v>16</v>
      </c>
      <c r="S3" s="137" t="s">
        <v>17</v>
      </c>
      <c r="T3" s="148" t="s">
        <v>18</v>
      </c>
      <c r="U3" s="148" t="s">
        <v>19</v>
      </c>
      <c r="V3" s="149" t="s">
        <v>20</v>
      </c>
      <c r="W3" s="137" t="s">
        <v>21</v>
      </c>
      <c r="X3" s="140" t="s">
        <v>22</v>
      </c>
      <c r="Y3" s="140" t="s">
        <v>23</v>
      </c>
      <c r="Z3" s="137" t="s">
        <v>24</v>
      </c>
      <c r="AA3" s="137" t="s">
        <v>25</v>
      </c>
      <c r="AB3" s="141"/>
      <c r="AC3" s="141" t="s">
        <v>26</v>
      </c>
      <c r="AD3" s="142" t="s">
        <v>27</v>
      </c>
      <c r="AE3" s="156" t="s">
        <v>28</v>
      </c>
      <c r="AF3" s="157"/>
      <c r="AG3" s="158" t="s">
        <v>29</v>
      </c>
      <c r="AH3" s="159"/>
    </row>
    <row r="4" spans="1:34" s="145" customFormat="1" ht="24.75" customHeight="1" x14ac:dyDescent="0.15">
      <c r="A4" s="160" t="s">
        <v>30</v>
      </c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2"/>
      <c r="AE4" s="144" t="s">
        <v>31</v>
      </c>
      <c r="AF4" s="144" t="s">
        <v>32</v>
      </c>
      <c r="AG4" s="144" t="s">
        <v>33</v>
      </c>
      <c r="AH4" s="144" t="s">
        <v>34</v>
      </c>
    </row>
    <row r="5" spans="1:34" ht="24.75" customHeight="1" x14ac:dyDescent="0.15">
      <c r="A5" s="4">
        <f t="shared" ref="A5:A46" si="0">ROW()-3</f>
        <v>2</v>
      </c>
      <c r="B5" s="5" t="s">
        <v>35</v>
      </c>
      <c r="C5" s="6" t="s">
        <v>36</v>
      </c>
      <c r="D5" s="7"/>
      <c r="E5" s="8" t="s">
        <v>37</v>
      </c>
      <c r="F5" s="9"/>
      <c r="G5" s="10" t="s">
        <v>38</v>
      </c>
      <c r="H5" s="11" t="s">
        <v>39</v>
      </c>
      <c r="I5" s="12" t="s">
        <v>40</v>
      </c>
      <c r="J5" s="7" t="s">
        <v>41</v>
      </c>
      <c r="K5" s="13">
        <v>1</v>
      </c>
      <c r="L5" s="14" t="s">
        <v>40</v>
      </c>
      <c r="M5" s="15">
        <v>22</v>
      </c>
      <c r="N5" s="16">
        <v>145</v>
      </c>
      <c r="O5" s="17">
        <f t="shared" ref="O5:O42" si="1">N5*3</f>
        <v>435</v>
      </c>
      <c r="P5" s="18">
        <f t="shared" ref="P5:P42" si="2">O5*15%</f>
        <v>65.25</v>
      </c>
      <c r="Q5" s="19">
        <f t="shared" ref="Q5:Q42" si="3">SUM(O5:P5)</f>
        <v>500.25</v>
      </c>
      <c r="R5" s="20">
        <f t="shared" ref="R5:R6" si="4">(O5*6*7)+(P5*2*7)</f>
        <v>19183.5</v>
      </c>
      <c r="S5" s="21">
        <v>7</v>
      </c>
      <c r="T5" s="22">
        <v>6</v>
      </c>
      <c r="U5" s="23">
        <v>12</v>
      </c>
      <c r="V5" s="23">
        <f>T5+U5</f>
        <v>18</v>
      </c>
      <c r="W5" s="24" t="s">
        <v>42</v>
      </c>
      <c r="X5" s="24">
        <v>0</v>
      </c>
      <c r="Y5" s="24">
        <v>0</v>
      </c>
      <c r="Z5" s="25" t="s">
        <v>43</v>
      </c>
      <c r="AA5" s="26" t="s">
        <v>44</v>
      </c>
      <c r="AB5" s="27"/>
      <c r="AC5" s="27" t="s">
        <v>45</v>
      </c>
      <c r="AD5" s="28"/>
      <c r="AE5" s="29" t="s">
        <v>46</v>
      </c>
      <c r="AF5" s="30" t="s">
        <v>47</v>
      </c>
      <c r="AG5" s="31" t="s">
        <v>48</v>
      </c>
      <c r="AH5" s="31" t="s">
        <v>49</v>
      </c>
    </row>
    <row r="6" spans="1:34" ht="24.75" customHeight="1" x14ac:dyDescent="0.15">
      <c r="A6" s="4">
        <f t="shared" si="0"/>
        <v>3</v>
      </c>
      <c r="B6" s="5" t="s">
        <v>35</v>
      </c>
      <c r="C6" s="6" t="s">
        <v>50</v>
      </c>
      <c r="D6" s="7"/>
      <c r="E6" s="8" t="s">
        <v>51</v>
      </c>
      <c r="F6" s="9"/>
      <c r="G6" s="10" t="s">
        <v>38</v>
      </c>
      <c r="H6" s="11" t="s">
        <v>39</v>
      </c>
      <c r="I6" s="12" t="s">
        <v>40</v>
      </c>
      <c r="J6" s="7" t="s">
        <v>41</v>
      </c>
      <c r="K6" s="13">
        <v>1</v>
      </c>
      <c r="L6" s="14" t="s">
        <v>40</v>
      </c>
      <c r="M6" s="15">
        <v>22</v>
      </c>
      <c r="N6" s="16">
        <v>128</v>
      </c>
      <c r="O6" s="17">
        <f t="shared" si="1"/>
        <v>384</v>
      </c>
      <c r="P6" s="18">
        <f t="shared" si="2"/>
        <v>57.599999999999994</v>
      </c>
      <c r="Q6" s="19">
        <f t="shared" si="3"/>
        <v>441.6</v>
      </c>
      <c r="R6" s="20">
        <f t="shared" si="4"/>
        <v>16934.400000000001</v>
      </c>
      <c r="S6" s="21">
        <v>7</v>
      </c>
      <c r="T6" s="22">
        <v>6</v>
      </c>
      <c r="U6" s="22">
        <v>12</v>
      </c>
      <c r="V6" s="23">
        <f t="shared" ref="V6:V42" si="5">T6+U6</f>
        <v>18</v>
      </c>
      <c r="W6" s="24" t="s">
        <v>42</v>
      </c>
      <c r="X6" s="24">
        <v>0</v>
      </c>
      <c r="Y6" s="24">
        <v>0</v>
      </c>
      <c r="Z6" s="25" t="s">
        <v>52</v>
      </c>
      <c r="AA6" s="26" t="s">
        <v>44</v>
      </c>
      <c r="AB6" s="27"/>
      <c r="AC6" s="27" t="s">
        <v>45</v>
      </c>
      <c r="AD6" s="28"/>
      <c r="AE6" s="29" t="s">
        <v>53</v>
      </c>
      <c r="AF6" s="30" t="s">
        <v>54</v>
      </c>
      <c r="AG6" s="31" t="s">
        <v>48</v>
      </c>
      <c r="AH6" s="31" t="s">
        <v>49</v>
      </c>
    </row>
    <row r="7" spans="1:34" ht="24.75" customHeight="1" x14ac:dyDescent="0.15">
      <c r="A7" s="4">
        <f t="shared" si="0"/>
        <v>4</v>
      </c>
      <c r="B7" s="5" t="s">
        <v>35</v>
      </c>
      <c r="C7" s="6" t="s">
        <v>55</v>
      </c>
      <c r="D7" s="32"/>
      <c r="E7" s="33" t="s">
        <v>56</v>
      </c>
      <c r="F7" s="9"/>
      <c r="G7" s="10" t="s">
        <v>57</v>
      </c>
      <c r="H7" s="11" t="s">
        <v>39</v>
      </c>
      <c r="I7" s="12" t="s">
        <v>40</v>
      </c>
      <c r="J7" s="7"/>
      <c r="K7" s="13"/>
      <c r="L7" s="14"/>
      <c r="M7" s="15">
        <v>15</v>
      </c>
      <c r="N7" s="16">
        <v>45</v>
      </c>
      <c r="O7" s="17">
        <f t="shared" si="1"/>
        <v>135</v>
      </c>
      <c r="P7" s="18">
        <f t="shared" si="2"/>
        <v>20.25</v>
      </c>
      <c r="Q7" s="19">
        <f t="shared" si="3"/>
        <v>155.25</v>
      </c>
      <c r="R7" s="20">
        <f t="shared" ref="R7:R8" si="6">(O7*7*6)+(P7*7*2)</f>
        <v>5953.5</v>
      </c>
      <c r="S7" s="21">
        <v>4</v>
      </c>
      <c r="T7" s="22">
        <v>4</v>
      </c>
      <c r="U7" s="22">
        <v>6</v>
      </c>
      <c r="V7" s="23">
        <f t="shared" si="5"/>
        <v>10</v>
      </c>
      <c r="W7" s="24" t="s">
        <v>42</v>
      </c>
      <c r="X7" s="24">
        <v>0</v>
      </c>
      <c r="Y7" s="24">
        <v>0</v>
      </c>
      <c r="Z7" s="25" t="s">
        <v>58</v>
      </c>
      <c r="AA7" s="26" t="s">
        <v>59</v>
      </c>
      <c r="AB7" s="27"/>
      <c r="AC7" s="27" t="s">
        <v>60</v>
      </c>
      <c r="AD7" s="28"/>
      <c r="AE7" s="29" t="s">
        <v>61</v>
      </c>
      <c r="AF7" s="30" t="s">
        <v>54</v>
      </c>
      <c r="AG7" s="31" t="s">
        <v>48</v>
      </c>
      <c r="AH7" s="31" t="s">
        <v>49</v>
      </c>
    </row>
    <row r="8" spans="1:34" ht="24.75" customHeight="1" x14ac:dyDescent="0.15">
      <c r="A8" s="4">
        <f t="shared" si="0"/>
        <v>5</v>
      </c>
      <c r="B8" s="5" t="s">
        <v>35</v>
      </c>
      <c r="C8" s="6" t="s">
        <v>62</v>
      </c>
      <c r="D8" s="32"/>
      <c r="E8" s="33" t="s">
        <v>63</v>
      </c>
      <c r="F8" s="9"/>
      <c r="G8" s="10" t="s">
        <v>57</v>
      </c>
      <c r="H8" s="11" t="s">
        <v>39</v>
      </c>
      <c r="I8" s="12" t="s">
        <v>40</v>
      </c>
      <c r="J8" s="7"/>
      <c r="K8" s="13"/>
      <c r="L8" s="14"/>
      <c r="M8" s="15">
        <v>15</v>
      </c>
      <c r="N8" s="16">
        <v>91</v>
      </c>
      <c r="O8" s="17">
        <f t="shared" si="1"/>
        <v>273</v>
      </c>
      <c r="P8" s="18">
        <f t="shared" si="2"/>
        <v>40.949999999999996</v>
      </c>
      <c r="Q8" s="19">
        <f t="shared" si="3"/>
        <v>313.95</v>
      </c>
      <c r="R8" s="20">
        <f t="shared" si="6"/>
        <v>12039.3</v>
      </c>
      <c r="S8" s="21">
        <v>5</v>
      </c>
      <c r="T8" s="22">
        <v>6</v>
      </c>
      <c r="U8" s="22">
        <v>9</v>
      </c>
      <c r="V8" s="23">
        <f t="shared" si="5"/>
        <v>15</v>
      </c>
      <c r="W8" s="24" t="s">
        <v>42</v>
      </c>
      <c r="X8" s="24">
        <v>0</v>
      </c>
      <c r="Y8" s="24">
        <v>0</v>
      </c>
      <c r="Z8" s="25" t="s">
        <v>58</v>
      </c>
      <c r="AA8" s="26" t="s">
        <v>59</v>
      </c>
      <c r="AB8" s="27"/>
      <c r="AC8" s="27" t="s">
        <v>60</v>
      </c>
      <c r="AD8" s="28"/>
      <c r="AE8" s="29" t="s">
        <v>61</v>
      </c>
      <c r="AF8" s="30" t="s">
        <v>54</v>
      </c>
      <c r="AG8" s="31" t="s">
        <v>48</v>
      </c>
      <c r="AH8" s="31" t="s">
        <v>49</v>
      </c>
    </row>
    <row r="9" spans="1:34" ht="24.75" customHeight="1" x14ac:dyDescent="0.15">
      <c r="A9" s="4">
        <f t="shared" si="0"/>
        <v>6</v>
      </c>
      <c r="B9" s="34" t="s">
        <v>35</v>
      </c>
      <c r="C9" s="35" t="s">
        <v>64</v>
      </c>
      <c r="D9" s="36"/>
      <c r="E9" s="37" t="s">
        <v>65</v>
      </c>
      <c r="F9" s="9"/>
      <c r="G9" s="10" t="s">
        <v>66</v>
      </c>
      <c r="H9" s="11" t="s">
        <v>67</v>
      </c>
      <c r="I9" s="12" t="s">
        <v>40</v>
      </c>
      <c r="J9" s="7"/>
      <c r="K9" s="13"/>
      <c r="L9" s="14"/>
      <c r="M9" s="15">
        <v>20</v>
      </c>
      <c r="N9" s="16">
        <v>348</v>
      </c>
      <c r="O9" s="17">
        <f t="shared" si="1"/>
        <v>1044</v>
      </c>
      <c r="P9" s="18">
        <f t="shared" si="2"/>
        <v>156.6</v>
      </c>
      <c r="Q9" s="19">
        <f t="shared" si="3"/>
        <v>1200.5999999999999</v>
      </c>
      <c r="R9" s="20">
        <f t="shared" ref="R9:R11" si="7">(O9*6*7)+(P9*2*7)</f>
        <v>46040.4</v>
      </c>
      <c r="S9" s="21">
        <v>4</v>
      </c>
      <c r="T9" s="22">
        <v>8</v>
      </c>
      <c r="U9" s="22">
        <v>6</v>
      </c>
      <c r="V9" s="23">
        <f t="shared" si="5"/>
        <v>14</v>
      </c>
      <c r="W9" s="24" t="s">
        <v>42</v>
      </c>
      <c r="X9" s="24">
        <v>0</v>
      </c>
      <c r="Y9" s="24">
        <v>12</v>
      </c>
      <c r="Z9" s="25" t="s">
        <v>68</v>
      </c>
      <c r="AA9" s="26" t="s">
        <v>44</v>
      </c>
      <c r="AB9" s="27"/>
      <c r="AC9" s="27" t="s">
        <v>69</v>
      </c>
      <c r="AD9" s="28"/>
      <c r="AE9" s="29" t="s">
        <v>70</v>
      </c>
      <c r="AF9" s="30" t="s">
        <v>47</v>
      </c>
      <c r="AG9" s="31" t="s">
        <v>48</v>
      </c>
      <c r="AH9" s="31" t="s">
        <v>48</v>
      </c>
    </row>
    <row r="10" spans="1:34" ht="24.75" customHeight="1" x14ac:dyDescent="0.15">
      <c r="A10" s="4">
        <f t="shared" si="0"/>
        <v>7</v>
      </c>
      <c r="B10" s="34" t="s">
        <v>35</v>
      </c>
      <c r="C10" s="35" t="s">
        <v>71</v>
      </c>
      <c r="D10" s="36"/>
      <c r="E10" s="37" t="s">
        <v>72</v>
      </c>
      <c r="F10" s="9"/>
      <c r="G10" s="10" t="s">
        <v>66</v>
      </c>
      <c r="H10" s="11" t="s">
        <v>67</v>
      </c>
      <c r="I10" s="12" t="s">
        <v>40</v>
      </c>
      <c r="J10" s="7"/>
      <c r="K10" s="13"/>
      <c r="L10" s="14"/>
      <c r="M10" s="15">
        <v>20</v>
      </c>
      <c r="N10" s="16">
        <v>348</v>
      </c>
      <c r="O10" s="17">
        <f t="shared" si="1"/>
        <v>1044</v>
      </c>
      <c r="P10" s="18">
        <f t="shared" si="2"/>
        <v>156.6</v>
      </c>
      <c r="Q10" s="19">
        <f t="shared" si="3"/>
        <v>1200.5999999999999</v>
      </c>
      <c r="R10" s="20">
        <f t="shared" si="7"/>
        <v>46040.4</v>
      </c>
      <c r="S10" s="21">
        <v>4</v>
      </c>
      <c r="T10" s="22">
        <v>8</v>
      </c>
      <c r="U10" s="22">
        <v>8</v>
      </c>
      <c r="V10" s="23">
        <f t="shared" si="5"/>
        <v>16</v>
      </c>
      <c r="W10" s="24" t="s">
        <v>42</v>
      </c>
      <c r="X10" s="24">
        <v>0</v>
      </c>
      <c r="Y10" s="24">
        <v>16</v>
      </c>
      <c r="Z10" s="25" t="s">
        <v>73</v>
      </c>
      <c r="AA10" s="26" t="s">
        <v>44</v>
      </c>
      <c r="AB10" s="27"/>
      <c r="AC10" s="27" t="s">
        <v>69</v>
      </c>
      <c r="AD10" s="28"/>
      <c r="AE10" s="29" t="s">
        <v>70</v>
      </c>
      <c r="AF10" s="30" t="s">
        <v>47</v>
      </c>
      <c r="AG10" s="31" t="s">
        <v>48</v>
      </c>
      <c r="AH10" s="31" t="s">
        <v>48</v>
      </c>
    </row>
    <row r="11" spans="1:34" ht="24.75" customHeight="1" x14ac:dyDescent="0.15">
      <c r="A11" s="4">
        <f t="shared" si="0"/>
        <v>8</v>
      </c>
      <c r="B11" s="34" t="s">
        <v>35</v>
      </c>
      <c r="C11" s="35" t="s">
        <v>74</v>
      </c>
      <c r="D11" s="36"/>
      <c r="E11" s="37" t="s">
        <v>75</v>
      </c>
      <c r="F11" s="9"/>
      <c r="G11" s="10" t="s">
        <v>66</v>
      </c>
      <c r="H11" s="11" t="s">
        <v>67</v>
      </c>
      <c r="I11" s="12" t="s">
        <v>40</v>
      </c>
      <c r="J11" s="7" t="s">
        <v>41</v>
      </c>
      <c r="K11" s="13">
        <v>1</v>
      </c>
      <c r="L11" s="14" t="s">
        <v>40</v>
      </c>
      <c r="M11" s="15">
        <v>20</v>
      </c>
      <c r="N11" s="16">
        <v>348</v>
      </c>
      <c r="O11" s="17">
        <f t="shared" si="1"/>
        <v>1044</v>
      </c>
      <c r="P11" s="18">
        <f t="shared" si="2"/>
        <v>156.6</v>
      </c>
      <c r="Q11" s="19">
        <f t="shared" si="3"/>
        <v>1200.5999999999999</v>
      </c>
      <c r="R11" s="20">
        <f t="shared" si="7"/>
        <v>46040.4</v>
      </c>
      <c r="S11" s="21">
        <v>4</v>
      </c>
      <c r="T11" s="22">
        <v>8</v>
      </c>
      <c r="U11" s="22">
        <v>6</v>
      </c>
      <c r="V11" s="23">
        <f t="shared" si="5"/>
        <v>14</v>
      </c>
      <c r="W11" s="24" t="s">
        <v>42</v>
      </c>
      <c r="X11" s="24">
        <v>0</v>
      </c>
      <c r="Y11" s="24">
        <v>12</v>
      </c>
      <c r="Z11" s="25" t="s">
        <v>76</v>
      </c>
      <c r="AA11" s="26" t="s">
        <v>44</v>
      </c>
      <c r="AB11" s="27"/>
      <c r="AC11" s="27" t="s">
        <v>69</v>
      </c>
      <c r="AD11" s="28"/>
      <c r="AE11" s="29" t="s">
        <v>70</v>
      </c>
      <c r="AF11" s="30" t="s">
        <v>47</v>
      </c>
      <c r="AG11" s="31" t="s">
        <v>48</v>
      </c>
      <c r="AH11" s="38" t="s">
        <v>48</v>
      </c>
    </row>
    <row r="12" spans="1:34" ht="24.75" customHeight="1" x14ac:dyDescent="0.15">
      <c r="A12" s="4">
        <f t="shared" si="0"/>
        <v>9</v>
      </c>
      <c r="B12" s="39" t="s">
        <v>77</v>
      </c>
      <c r="C12" s="6" t="s">
        <v>78</v>
      </c>
      <c r="D12" s="32"/>
      <c r="E12" s="33" t="s">
        <v>79</v>
      </c>
      <c r="F12" s="9"/>
      <c r="G12" s="10" t="s">
        <v>80</v>
      </c>
      <c r="H12" s="11" t="s">
        <v>81</v>
      </c>
      <c r="I12" s="12" t="s">
        <v>40</v>
      </c>
      <c r="J12" s="7" t="s">
        <v>82</v>
      </c>
      <c r="K12" s="13" t="s">
        <v>83</v>
      </c>
      <c r="L12" s="14" t="s">
        <v>84</v>
      </c>
      <c r="M12" s="15">
        <v>28</v>
      </c>
      <c r="N12" s="16">
        <v>66</v>
      </c>
      <c r="O12" s="17">
        <f t="shared" si="1"/>
        <v>198</v>
      </c>
      <c r="P12" s="18">
        <f t="shared" si="2"/>
        <v>29.7</v>
      </c>
      <c r="Q12" s="19">
        <f t="shared" si="3"/>
        <v>227.7</v>
      </c>
      <c r="R12" s="20">
        <f t="shared" ref="R12:R42" si="8">(O12*7*6)+(P12*7*2)</f>
        <v>8731.7999999999993</v>
      </c>
      <c r="S12" s="40">
        <v>3</v>
      </c>
      <c r="T12" s="41">
        <v>4</v>
      </c>
      <c r="U12" s="22">
        <v>4</v>
      </c>
      <c r="V12" s="23">
        <f t="shared" si="5"/>
        <v>8</v>
      </c>
      <c r="W12" s="24" t="s">
        <v>42</v>
      </c>
      <c r="X12" s="24">
        <v>0</v>
      </c>
      <c r="Y12" s="24">
        <f t="shared" ref="Y12:Y27" si="9">SUMIF($W$126,"ON GOING",V126)</f>
        <v>0</v>
      </c>
      <c r="Z12" s="25" t="s">
        <v>85</v>
      </c>
      <c r="AA12" s="26" t="s">
        <v>86</v>
      </c>
      <c r="AB12" s="27"/>
      <c r="AC12" s="27" t="s">
        <v>87</v>
      </c>
      <c r="AD12" s="39"/>
      <c r="AE12" s="42" t="s">
        <v>88</v>
      </c>
      <c r="AF12" s="30" t="s">
        <v>47</v>
      </c>
      <c r="AG12" s="38" t="s">
        <v>48</v>
      </c>
      <c r="AH12" s="31" t="s">
        <v>89</v>
      </c>
    </row>
    <row r="13" spans="1:34" ht="24.75" customHeight="1" x14ac:dyDescent="0.15">
      <c r="A13" s="4">
        <f t="shared" si="0"/>
        <v>10</v>
      </c>
      <c r="B13" s="39" t="s">
        <v>77</v>
      </c>
      <c r="C13" s="6" t="s">
        <v>90</v>
      </c>
      <c r="D13" s="32"/>
      <c r="E13" s="33" t="s">
        <v>91</v>
      </c>
      <c r="F13" s="9"/>
      <c r="G13" s="10" t="s">
        <v>80</v>
      </c>
      <c r="H13" s="11" t="s">
        <v>81</v>
      </c>
      <c r="I13" s="12" t="s">
        <v>40</v>
      </c>
      <c r="J13" s="7" t="s">
        <v>82</v>
      </c>
      <c r="K13" s="13" t="s">
        <v>83</v>
      </c>
      <c r="L13" s="14" t="s">
        <v>84</v>
      </c>
      <c r="M13" s="15">
        <v>30</v>
      </c>
      <c r="N13" s="16">
        <v>90</v>
      </c>
      <c r="O13" s="17">
        <f t="shared" si="1"/>
        <v>270</v>
      </c>
      <c r="P13" s="18">
        <f t="shared" si="2"/>
        <v>40.5</v>
      </c>
      <c r="Q13" s="19">
        <f t="shared" si="3"/>
        <v>310.5</v>
      </c>
      <c r="R13" s="20">
        <f t="shared" si="8"/>
        <v>11907</v>
      </c>
      <c r="S13" s="40">
        <v>3</v>
      </c>
      <c r="T13" s="41">
        <v>4</v>
      </c>
      <c r="U13" s="22">
        <v>4</v>
      </c>
      <c r="V13" s="23">
        <f t="shared" si="5"/>
        <v>8</v>
      </c>
      <c r="W13" s="24" t="s">
        <v>42</v>
      </c>
      <c r="X13" s="24">
        <v>0</v>
      </c>
      <c r="Y13" s="24">
        <f t="shared" si="9"/>
        <v>0</v>
      </c>
      <c r="Z13" s="25" t="s">
        <v>85</v>
      </c>
      <c r="AA13" s="26" t="s">
        <v>86</v>
      </c>
      <c r="AB13" s="27"/>
      <c r="AC13" s="27" t="s">
        <v>87</v>
      </c>
      <c r="AD13" s="39"/>
      <c r="AE13" s="42" t="s">
        <v>88</v>
      </c>
      <c r="AF13" s="30" t="s">
        <v>47</v>
      </c>
      <c r="AG13" s="38" t="s">
        <v>48</v>
      </c>
      <c r="AH13" s="31" t="s">
        <v>89</v>
      </c>
    </row>
    <row r="14" spans="1:34" ht="24.75" customHeight="1" x14ac:dyDescent="0.15">
      <c r="A14" s="4">
        <f t="shared" si="0"/>
        <v>11</v>
      </c>
      <c r="B14" s="39" t="s">
        <v>77</v>
      </c>
      <c r="C14" s="6" t="s">
        <v>92</v>
      </c>
      <c r="D14" s="32"/>
      <c r="E14" s="33" t="s">
        <v>93</v>
      </c>
      <c r="F14" s="9"/>
      <c r="G14" s="10" t="s">
        <v>80</v>
      </c>
      <c r="H14" s="11" t="s">
        <v>81</v>
      </c>
      <c r="I14" s="12" t="s">
        <v>40</v>
      </c>
      <c r="J14" s="7" t="s">
        <v>82</v>
      </c>
      <c r="K14" s="13" t="s">
        <v>83</v>
      </c>
      <c r="L14" s="14" t="s">
        <v>84</v>
      </c>
      <c r="M14" s="15">
        <v>30</v>
      </c>
      <c r="N14" s="16">
        <v>102</v>
      </c>
      <c r="O14" s="17">
        <f t="shared" si="1"/>
        <v>306</v>
      </c>
      <c r="P14" s="18">
        <f t="shared" si="2"/>
        <v>45.9</v>
      </c>
      <c r="Q14" s="19">
        <f t="shared" si="3"/>
        <v>351.9</v>
      </c>
      <c r="R14" s="20">
        <f t="shared" si="8"/>
        <v>13494.6</v>
      </c>
      <c r="S14" s="40">
        <v>3</v>
      </c>
      <c r="T14" s="41">
        <v>4</v>
      </c>
      <c r="U14" s="22">
        <v>4</v>
      </c>
      <c r="V14" s="23">
        <f t="shared" si="5"/>
        <v>8</v>
      </c>
      <c r="W14" s="24" t="s">
        <v>42</v>
      </c>
      <c r="X14" s="24">
        <v>0</v>
      </c>
      <c r="Y14" s="24">
        <f t="shared" si="9"/>
        <v>0</v>
      </c>
      <c r="Z14" s="25" t="s">
        <v>85</v>
      </c>
      <c r="AA14" s="26" t="s">
        <v>86</v>
      </c>
      <c r="AB14" s="27"/>
      <c r="AC14" s="27" t="s">
        <v>87</v>
      </c>
      <c r="AD14" s="39"/>
      <c r="AE14" s="42" t="s">
        <v>88</v>
      </c>
      <c r="AF14" s="30" t="s">
        <v>47</v>
      </c>
      <c r="AG14" s="38" t="s">
        <v>48</v>
      </c>
      <c r="AH14" s="31" t="s">
        <v>89</v>
      </c>
    </row>
    <row r="15" spans="1:34" ht="24.75" customHeight="1" x14ac:dyDescent="0.15">
      <c r="A15" s="4">
        <f t="shared" si="0"/>
        <v>12</v>
      </c>
      <c r="B15" s="39" t="s">
        <v>77</v>
      </c>
      <c r="C15" s="6" t="s">
        <v>94</v>
      </c>
      <c r="D15" s="32"/>
      <c r="E15" s="33" t="s">
        <v>95</v>
      </c>
      <c r="F15" s="9"/>
      <c r="G15" s="10" t="s">
        <v>80</v>
      </c>
      <c r="H15" s="11" t="s">
        <v>81</v>
      </c>
      <c r="I15" s="12" t="s">
        <v>40</v>
      </c>
      <c r="J15" s="7" t="s">
        <v>82</v>
      </c>
      <c r="K15" s="13" t="s">
        <v>83</v>
      </c>
      <c r="L15" s="14" t="s">
        <v>84</v>
      </c>
      <c r="M15" s="15">
        <v>29</v>
      </c>
      <c r="N15" s="16">
        <v>92</v>
      </c>
      <c r="O15" s="17">
        <f t="shared" si="1"/>
        <v>276</v>
      </c>
      <c r="P15" s="18">
        <f t="shared" si="2"/>
        <v>41.4</v>
      </c>
      <c r="Q15" s="19">
        <f t="shared" si="3"/>
        <v>317.39999999999998</v>
      </c>
      <c r="R15" s="20">
        <f t="shared" si="8"/>
        <v>12171.6</v>
      </c>
      <c r="S15" s="40">
        <v>3</v>
      </c>
      <c r="T15" s="41">
        <v>4</v>
      </c>
      <c r="U15" s="22">
        <v>4</v>
      </c>
      <c r="V15" s="23">
        <f t="shared" si="5"/>
        <v>8</v>
      </c>
      <c r="W15" s="24" t="s">
        <v>42</v>
      </c>
      <c r="X15" s="24">
        <v>0</v>
      </c>
      <c r="Y15" s="24">
        <f t="shared" si="9"/>
        <v>0</v>
      </c>
      <c r="Z15" s="25" t="s">
        <v>85</v>
      </c>
      <c r="AA15" s="26" t="s">
        <v>86</v>
      </c>
      <c r="AB15" s="27"/>
      <c r="AC15" s="27" t="s">
        <v>87</v>
      </c>
      <c r="AD15" s="39"/>
      <c r="AE15" s="42" t="s">
        <v>88</v>
      </c>
      <c r="AF15" s="30" t="s">
        <v>47</v>
      </c>
      <c r="AG15" s="38" t="s">
        <v>48</v>
      </c>
      <c r="AH15" s="31" t="s">
        <v>89</v>
      </c>
    </row>
    <row r="16" spans="1:34" ht="24.75" customHeight="1" x14ac:dyDescent="0.15">
      <c r="A16" s="4">
        <f t="shared" si="0"/>
        <v>13</v>
      </c>
      <c r="B16" s="39" t="s">
        <v>77</v>
      </c>
      <c r="C16" s="6" t="s">
        <v>96</v>
      </c>
      <c r="D16" s="32"/>
      <c r="E16" s="33" t="s">
        <v>97</v>
      </c>
      <c r="F16" s="9"/>
      <c r="G16" s="10" t="s">
        <v>80</v>
      </c>
      <c r="H16" s="11" t="s">
        <v>81</v>
      </c>
      <c r="I16" s="12" t="s">
        <v>40</v>
      </c>
      <c r="J16" s="7" t="s">
        <v>82</v>
      </c>
      <c r="K16" s="13" t="s">
        <v>83</v>
      </c>
      <c r="L16" s="14" t="s">
        <v>84</v>
      </c>
      <c r="M16" s="15">
        <v>29</v>
      </c>
      <c r="N16" s="16">
        <v>84</v>
      </c>
      <c r="O16" s="17">
        <f t="shared" si="1"/>
        <v>252</v>
      </c>
      <c r="P16" s="18">
        <f t="shared" si="2"/>
        <v>37.799999999999997</v>
      </c>
      <c r="Q16" s="19">
        <f t="shared" si="3"/>
        <v>289.8</v>
      </c>
      <c r="R16" s="20">
        <f t="shared" si="8"/>
        <v>11113.2</v>
      </c>
      <c r="S16" s="40">
        <v>3</v>
      </c>
      <c r="T16" s="41">
        <v>4</v>
      </c>
      <c r="U16" s="22">
        <v>4</v>
      </c>
      <c r="V16" s="23">
        <f t="shared" si="5"/>
        <v>8</v>
      </c>
      <c r="W16" s="24" t="s">
        <v>42</v>
      </c>
      <c r="X16" s="24">
        <v>0</v>
      </c>
      <c r="Y16" s="24">
        <f t="shared" si="9"/>
        <v>0</v>
      </c>
      <c r="Z16" s="25" t="s">
        <v>85</v>
      </c>
      <c r="AA16" s="26" t="s">
        <v>86</v>
      </c>
      <c r="AB16" s="27"/>
      <c r="AC16" s="27" t="s">
        <v>87</v>
      </c>
      <c r="AD16" s="39"/>
      <c r="AE16" s="42" t="s">
        <v>88</v>
      </c>
      <c r="AF16" s="30" t="s">
        <v>47</v>
      </c>
      <c r="AG16" s="38" t="s">
        <v>48</v>
      </c>
      <c r="AH16" s="31" t="s">
        <v>89</v>
      </c>
    </row>
    <row r="17" spans="1:34" ht="24.75" customHeight="1" x14ac:dyDescent="0.15">
      <c r="A17" s="4">
        <f t="shared" si="0"/>
        <v>14</v>
      </c>
      <c r="B17" s="39" t="s">
        <v>77</v>
      </c>
      <c r="C17" s="6" t="s">
        <v>98</v>
      </c>
      <c r="D17" s="32"/>
      <c r="E17" s="33" t="s">
        <v>99</v>
      </c>
      <c r="F17" s="9"/>
      <c r="G17" s="10" t="s">
        <v>80</v>
      </c>
      <c r="H17" s="11" t="s">
        <v>81</v>
      </c>
      <c r="I17" s="12" t="s">
        <v>40</v>
      </c>
      <c r="J17" s="7" t="s">
        <v>82</v>
      </c>
      <c r="K17" s="13" t="s">
        <v>83</v>
      </c>
      <c r="L17" s="14" t="s">
        <v>84</v>
      </c>
      <c r="M17" s="15">
        <v>29</v>
      </c>
      <c r="N17" s="16">
        <v>66</v>
      </c>
      <c r="O17" s="17">
        <f t="shared" si="1"/>
        <v>198</v>
      </c>
      <c r="P17" s="18">
        <f t="shared" si="2"/>
        <v>29.7</v>
      </c>
      <c r="Q17" s="19">
        <f t="shared" si="3"/>
        <v>227.7</v>
      </c>
      <c r="R17" s="20">
        <f t="shared" si="8"/>
        <v>8731.7999999999993</v>
      </c>
      <c r="S17" s="40">
        <v>2</v>
      </c>
      <c r="T17" s="41">
        <v>2</v>
      </c>
      <c r="U17" s="22">
        <v>2</v>
      </c>
      <c r="V17" s="23">
        <f t="shared" si="5"/>
        <v>4</v>
      </c>
      <c r="W17" s="24" t="s">
        <v>42</v>
      </c>
      <c r="X17" s="24">
        <v>0</v>
      </c>
      <c r="Y17" s="24">
        <f t="shared" si="9"/>
        <v>0</v>
      </c>
      <c r="Z17" s="25" t="s">
        <v>85</v>
      </c>
      <c r="AA17" s="26" t="s">
        <v>86</v>
      </c>
      <c r="AB17" s="27"/>
      <c r="AC17" s="27" t="s">
        <v>87</v>
      </c>
      <c r="AD17" s="39"/>
      <c r="AE17" s="42" t="s">
        <v>88</v>
      </c>
      <c r="AF17" s="30" t="s">
        <v>47</v>
      </c>
      <c r="AG17" s="38" t="s">
        <v>48</v>
      </c>
      <c r="AH17" s="31" t="s">
        <v>89</v>
      </c>
    </row>
    <row r="18" spans="1:34" ht="24.75" customHeight="1" x14ac:dyDescent="0.15">
      <c r="A18" s="4">
        <f t="shared" si="0"/>
        <v>15</v>
      </c>
      <c r="B18" s="39" t="s">
        <v>77</v>
      </c>
      <c r="C18" s="6" t="s">
        <v>100</v>
      </c>
      <c r="D18" s="32"/>
      <c r="E18" s="33" t="s">
        <v>101</v>
      </c>
      <c r="F18" s="9"/>
      <c r="G18" s="10" t="s">
        <v>80</v>
      </c>
      <c r="H18" s="11" t="s">
        <v>81</v>
      </c>
      <c r="I18" s="12" t="s">
        <v>40</v>
      </c>
      <c r="J18" s="7"/>
      <c r="K18" s="13"/>
      <c r="L18" s="14"/>
      <c r="M18" s="15">
        <v>28</v>
      </c>
      <c r="N18" s="16">
        <v>56</v>
      </c>
      <c r="O18" s="17">
        <f t="shared" si="1"/>
        <v>168</v>
      </c>
      <c r="P18" s="18">
        <f t="shared" si="2"/>
        <v>25.2</v>
      </c>
      <c r="Q18" s="19">
        <f t="shared" si="3"/>
        <v>193.2</v>
      </c>
      <c r="R18" s="20">
        <f t="shared" si="8"/>
        <v>7408.8</v>
      </c>
      <c r="S18" s="40">
        <v>2</v>
      </c>
      <c r="T18" s="41">
        <v>2</v>
      </c>
      <c r="U18" s="22">
        <v>2</v>
      </c>
      <c r="V18" s="23">
        <f t="shared" si="5"/>
        <v>4</v>
      </c>
      <c r="W18" s="24" t="s">
        <v>42</v>
      </c>
      <c r="X18" s="24">
        <v>0</v>
      </c>
      <c r="Y18" s="24">
        <f t="shared" si="9"/>
        <v>0</v>
      </c>
      <c r="Z18" s="25" t="s">
        <v>85</v>
      </c>
      <c r="AA18" s="26" t="s">
        <v>86</v>
      </c>
      <c r="AB18" s="27"/>
      <c r="AC18" s="27" t="s">
        <v>87</v>
      </c>
      <c r="AD18" s="39"/>
      <c r="AE18" s="42" t="s">
        <v>88</v>
      </c>
      <c r="AF18" s="30" t="s">
        <v>47</v>
      </c>
      <c r="AG18" s="38" t="s">
        <v>48</v>
      </c>
      <c r="AH18" s="31" t="s">
        <v>89</v>
      </c>
    </row>
    <row r="19" spans="1:34" ht="24.75" customHeight="1" x14ac:dyDescent="0.15">
      <c r="A19" s="4">
        <f t="shared" si="0"/>
        <v>16</v>
      </c>
      <c r="B19" s="39" t="s">
        <v>77</v>
      </c>
      <c r="C19" s="6" t="s">
        <v>102</v>
      </c>
      <c r="D19" s="32"/>
      <c r="E19" s="33" t="s">
        <v>103</v>
      </c>
      <c r="F19" s="9"/>
      <c r="G19" s="10" t="s">
        <v>80</v>
      </c>
      <c r="H19" s="11" t="s">
        <v>81</v>
      </c>
      <c r="I19" s="12" t="s">
        <v>40</v>
      </c>
      <c r="J19" s="7" t="s">
        <v>104</v>
      </c>
      <c r="K19" s="13" t="s">
        <v>83</v>
      </c>
      <c r="L19" s="14" t="s">
        <v>84</v>
      </c>
      <c r="M19" s="15">
        <v>26</v>
      </c>
      <c r="N19" s="16">
        <v>124</v>
      </c>
      <c r="O19" s="17">
        <f t="shared" si="1"/>
        <v>372</v>
      </c>
      <c r="P19" s="18">
        <f t="shared" si="2"/>
        <v>55.8</v>
      </c>
      <c r="Q19" s="19">
        <f t="shared" si="3"/>
        <v>427.8</v>
      </c>
      <c r="R19" s="20">
        <f t="shared" si="8"/>
        <v>16405.2</v>
      </c>
      <c r="S19" s="40">
        <v>2</v>
      </c>
      <c r="T19" s="43">
        <v>2</v>
      </c>
      <c r="U19" s="22">
        <v>2</v>
      </c>
      <c r="V19" s="23">
        <f t="shared" si="5"/>
        <v>4</v>
      </c>
      <c r="W19" s="24" t="s">
        <v>42</v>
      </c>
      <c r="X19" s="24">
        <v>0</v>
      </c>
      <c r="Y19" s="24">
        <f t="shared" si="9"/>
        <v>0</v>
      </c>
      <c r="Z19" s="25" t="s">
        <v>85</v>
      </c>
      <c r="AA19" s="26" t="s">
        <v>86</v>
      </c>
      <c r="AB19" s="27"/>
      <c r="AC19" s="27" t="s">
        <v>87</v>
      </c>
      <c r="AD19" s="39"/>
      <c r="AE19" s="42" t="s">
        <v>88</v>
      </c>
      <c r="AF19" s="30" t="s">
        <v>47</v>
      </c>
      <c r="AG19" s="38" t="s">
        <v>48</v>
      </c>
      <c r="AH19" s="31" t="s">
        <v>89</v>
      </c>
    </row>
    <row r="20" spans="1:34" ht="24.75" customHeight="1" x14ac:dyDescent="0.15">
      <c r="A20" s="4">
        <f t="shared" si="0"/>
        <v>17</v>
      </c>
      <c r="B20" s="5" t="s">
        <v>35</v>
      </c>
      <c r="C20" s="6" t="s">
        <v>105</v>
      </c>
      <c r="D20" s="32"/>
      <c r="E20" s="33" t="s">
        <v>106</v>
      </c>
      <c r="F20" s="9"/>
      <c r="G20" s="10" t="s">
        <v>80</v>
      </c>
      <c r="H20" s="11" t="s">
        <v>81</v>
      </c>
      <c r="I20" s="12" t="s">
        <v>40</v>
      </c>
      <c r="J20" s="7" t="s">
        <v>82</v>
      </c>
      <c r="K20" s="13" t="s">
        <v>83</v>
      </c>
      <c r="L20" s="14" t="s">
        <v>84</v>
      </c>
      <c r="M20" s="15">
        <v>28</v>
      </c>
      <c r="N20" s="16">
        <v>300</v>
      </c>
      <c r="O20" s="17">
        <f t="shared" si="1"/>
        <v>900</v>
      </c>
      <c r="P20" s="18">
        <f t="shared" si="2"/>
        <v>135</v>
      </c>
      <c r="Q20" s="19">
        <f t="shared" si="3"/>
        <v>1035</v>
      </c>
      <c r="R20" s="20">
        <f t="shared" si="8"/>
        <v>39690</v>
      </c>
      <c r="S20" s="21">
        <v>5</v>
      </c>
      <c r="T20" s="22">
        <v>8</v>
      </c>
      <c r="U20" s="22">
        <v>6</v>
      </c>
      <c r="V20" s="23">
        <f t="shared" si="5"/>
        <v>14</v>
      </c>
      <c r="W20" s="24" t="s">
        <v>42</v>
      </c>
      <c r="X20" s="24">
        <v>0</v>
      </c>
      <c r="Y20" s="24">
        <f t="shared" si="9"/>
        <v>0</v>
      </c>
      <c r="Z20" s="25" t="s">
        <v>85</v>
      </c>
      <c r="AA20" s="26" t="s">
        <v>86</v>
      </c>
      <c r="AB20" s="27"/>
      <c r="AC20" s="27" t="s">
        <v>87</v>
      </c>
      <c r="AD20" s="28"/>
      <c r="AE20" s="42" t="s">
        <v>88</v>
      </c>
      <c r="AF20" s="30" t="s">
        <v>47</v>
      </c>
      <c r="AG20" s="38" t="s">
        <v>48</v>
      </c>
      <c r="AH20" s="31" t="s">
        <v>89</v>
      </c>
    </row>
    <row r="21" spans="1:34" ht="24.75" customHeight="1" x14ac:dyDescent="0.15">
      <c r="A21" s="4">
        <f t="shared" si="0"/>
        <v>18</v>
      </c>
      <c r="B21" s="5" t="s">
        <v>35</v>
      </c>
      <c r="C21" s="6" t="s">
        <v>107</v>
      </c>
      <c r="D21" s="32"/>
      <c r="E21" s="33" t="s">
        <v>108</v>
      </c>
      <c r="F21" s="9"/>
      <c r="G21" s="10" t="s">
        <v>80</v>
      </c>
      <c r="H21" s="11" t="s">
        <v>81</v>
      </c>
      <c r="I21" s="12" t="s">
        <v>40</v>
      </c>
      <c r="J21" s="7" t="s">
        <v>82</v>
      </c>
      <c r="K21" s="13" t="s">
        <v>83</v>
      </c>
      <c r="L21" s="14" t="s">
        <v>84</v>
      </c>
      <c r="M21" s="15">
        <v>30</v>
      </c>
      <c r="N21" s="16">
        <v>324</v>
      </c>
      <c r="O21" s="17">
        <f t="shared" si="1"/>
        <v>972</v>
      </c>
      <c r="P21" s="18">
        <f t="shared" si="2"/>
        <v>145.79999999999998</v>
      </c>
      <c r="Q21" s="19">
        <f t="shared" si="3"/>
        <v>1117.8</v>
      </c>
      <c r="R21" s="20">
        <f t="shared" si="8"/>
        <v>42865.2</v>
      </c>
      <c r="S21" s="21">
        <v>5</v>
      </c>
      <c r="T21" s="22">
        <v>8</v>
      </c>
      <c r="U21" s="22">
        <v>6</v>
      </c>
      <c r="V21" s="23">
        <f t="shared" si="5"/>
        <v>14</v>
      </c>
      <c r="W21" s="24" t="s">
        <v>42</v>
      </c>
      <c r="X21" s="24">
        <v>0</v>
      </c>
      <c r="Y21" s="24">
        <f t="shared" si="9"/>
        <v>0</v>
      </c>
      <c r="Z21" s="25" t="s">
        <v>85</v>
      </c>
      <c r="AA21" s="26" t="s">
        <v>86</v>
      </c>
      <c r="AB21" s="27"/>
      <c r="AC21" s="27" t="s">
        <v>87</v>
      </c>
      <c r="AD21" s="28"/>
      <c r="AE21" s="42" t="s">
        <v>88</v>
      </c>
      <c r="AF21" s="30" t="s">
        <v>47</v>
      </c>
      <c r="AG21" s="38" t="s">
        <v>48</v>
      </c>
      <c r="AH21" s="31" t="s">
        <v>89</v>
      </c>
    </row>
    <row r="22" spans="1:34" ht="24.75" customHeight="1" x14ac:dyDescent="0.15">
      <c r="A22" s="4">
        <f t="shared" si="0"/>
        <v>19</v>
      </c>
      <c r="B22" s="5" t="s">
        <v>35</v>
      </c>
      <c r="C22" s="6" t="s">
        <v>109</v>
      </c>
      <c r="D22" s="32"/>
      <c r="E22" s="33" t="s">
        <v>110</v>
      </c>
      <c r="F22" s="9"/>
      <c r="G22" s="10" t="s">
        <v>80</v>
      </c>
      <c r="H22" s="11" t="s">
        <v>81</v>
      </c>
      <c r="I22" s="12" t="s">
        <v>40</v>
      </c>
      <c r="J22" s="7" t="s">
        <v>82</v>
      </c>
      <c r="K22" s="13" t="s">
        <v>83</v>
      </c>
      <c r="L22" s="14" t="s">
        <v>84</v>
      </c>
      <c r="M22" s="15">
        <v>30</v>
      </c>
      <c r="N22" s="16">
        <v>324</v>
      </c>
      <c r="O22" s="17">
        <f t="shared" si="1"/>
        <v>972</v>
      </c>
      <c r="P22" s="18">
        <f t="shared" si="2"/>
        <v>145.79999999999998</v>
      </c>
      <c r="Q22" s="19">
        <f t="shared" si="3"/>
        <v>1117.8</v>
      </c>
      <c r="R22" s="20">
        <f t="shared" si="8"/>
        <v>42865.2</v>
      </c>
      <c r="S22" s="21">
        <v>5</v>
      </c>
      <c r="T22" s="22">
        <v>8</v>
      </c>
      <c r="U22" s="22">
        <v>6</v>
      </c>
      <c r="V22" s="23">
        <f t="shared" si="5"/>
        <v>14</v>
      </c>
      <c r="W22" s="24" t="s">
        <v>42</v>
      </c>
      <c r="X22" s="24">
        <v>0</v>
      </c>
      <c r="Y22" s="24">
        <f t="shared" si="9"/>
        <v>0</v>
      </c>
      <c r="Z22" s="25" t="s">
        <v>85</v>
      </c>
      <c r="AA22" s="26" t="s">
        <v>86</v>
      </c>
      <c r="AB22" s="27"/>
      <c r="AC22" s="27" t="s">
        <v>87</v>
      </c>
      <c r="AD22" s="28"/>
      <c r="AE22" s="42" t="s">
        <v>88</v>
      </c>
      <c r="AF22" s="30" t="s">
        <v>47</v>
      </c>
      <c r="AG22" s="38" t="s">
        <v>48</v>
      </c>
      <c r="AH22" s="31" t="s">
        <v>89</v>
      </c>
    </row>
    <row r="23" spans="1:34" ht="24.75" customHeight="1" x14ac:dyDescent="0.15">
      <c r="A23" s="4">
        <f t="shared" si="0"/>
        <v>20</v>
      </c>
      <c r="B23" s="5" t="s">
        <v>35</v>
      </c>
      <c r="C23" s="6" t="s">
        <v>111</v>
      </c>
      <c r="D23" s="32"/>
      <c r="E23" s="33" t="s">
        <v>112</v>
      </c>
      <c r="F23" s="9"/>
      <c r="G23" s="10" t="s">
        <v>80</v>
      </c>
      <c r="H23" s="11" t="s">
        <v>81</v>
      </c>
      <c r="I23" s="12" t="s">
        <v>40</v>
      </c>
      <c r="J23" s="7" t="s">
        <v>82</v>
      </c>
      <c r="K23" s="13" t="s">
        <v>83</v>
      </c>
      <c r="L23" s="14" t="s">
        <v>84</v>
      </c>
      <c r="M23" s="15">
        <v>29</v>
      </c>
      <c r="N23" s="16">
        <v>324</v>
      </c>
      <c r="O23" s="17">
        <f t="shared" si="1"/>
        <v>972</v>
      </c>
      <c r="P23" s="18">
        <f t="shared" si="2"/>
        <v>145.79999999999998</v>
      </c>
      <c r="Q23" s="19">
        <f t="shared" si="3"/>
        <v>1117.8</v>
      </c>
      <c r="R23" s="20">
        <f t="shared" si="8"/>
        <v>42865.2</v>
      </c>
      <c r="S23" s="21">
        <v>5</v>
      </c>
      <c r="T23" s="22">
        <v>8</v>
      </c>
      <c r="U23" s="22">
        <v>6</v>
      </c>
      <c r="V23" s="23">
        <f t="shared" si="5"/>
        <v>14</v>
      </c>
      <c r="W23" s="24" t="s">
        <v>42</v>
      </c>
      <c r="X23" s="24">
        <v>0</v>
      </c>
      <c r="Y23" s="24">
        <f t="shared" si="9"/>
        <v>0</v>
      </c>
      <c r="Z23" s="25" t="s">
        <v>85</v>
      </c>
      <c r="AA23" s="26" t="s">
        <v>86</v>
      </c>
      <c r="AB23" s="27"/>
      <c r="AC23" s="27" t="s">
        <v>87</v>
      </c>
      <c r="AD23" s="28"/>
      <c r="AE23" s="42" t="s">
        <v>88</v>
      </c>
      <c r="AF23" s="30" t="s">
        <v>47</v>
      </c>
      <c r="AG23" s="38" t="s">
        <v>48</v>
      </c>
      <c r="AH23" s="31" t="s">
        <v>89</v>
      </c>
    </row>
    <row r="24" spans="1:34" ht="24.75" customHeight="1" x14ac:dyDescent="0.15">
      <c r="A24" s="4">
        <f t="shared" si="0"/>
        <v>21</v>
      </c>
      <c r="B24" s="5" t="s">
        <v>35</v>
      </c>
      <c r="C24" s="6" t="s">
        <v>113</v>
      </c>
      <c r="D24" s="32"/>
      <c r="E24" s="33" t="s">
        <v>114</v>
      </c>
      <c r="F24" s="9"/>
      <c r="G24" s="10" t="s">
        <v>80</v>
      </c>
      <c r="H24" s="11" t="s">
        <v>81</v>
      </c>
      <c r="I24" s="12" t="s">
        <v>40</v>
      </c>
      <c r="J24" s="7" t="s">
        <v>82</v>
      </c>
      <c r="K24" s="13" t="s">
        <v>83</v>
      </c>
      <c r="L24" s="14" t="s">
        <v>84</v>
      </c>
      <c r="M24" s="15">
        <v>29</v>
      </c>
      <c r="N24" s="16">
        <v>312</v>
      </c>
      <c r="O24" s="17">
        <f t="shared" si="1"/>
        <v>936</v>
      </c>
      <c r="P24" s="18">
        <f t="shared" si="2"/>
        <v>140.4</v>
      </c>
      <c r="Q24" s="19">
        <f t="shared" si="3"/>
        <v>1076.4000000000001</v>
      </c>
      <c r="R24" s="20">
        <f t="shared" si="8"/>
        <v>41277.599999999999</v>
      </c>
      <c r="S24" s="21">
        <v>5</v>
      </c>
      <c r="T24" s="22">
        <v>8</v>
      </c>
      <c r="U24" s="22">
        <v>6</v>
      </c>
      <c r="V24" s="23">
        <f t="shared" si="5"/>
        <v>14</v>
      </c>
      <c r="W24" s="24" t="s">
        <v>42</v>
      </c>
      <c r="X24" s="24">
        <v>0</v>
      </c>
      <c r="Y24" s="24">
        <f t="shared" si="9"/>
        <v>0</v>
      </c>
      <c r="Z24" s="25" t="s">
        <v>85</v>
      </c>
      <c r="AA24" s="26" t="s">
        <v>86</v>
      </c>
      <c r="AB24" s="27"/>
      <c r="AC24" s="27" t="s">
        <v>87</v>
      </c>
      <c r="AD24" s="28"/>
      <c r="AE24" s="42" t="s">
        <v>88</v>
      </c>
      <c r="AF24" s="30" t="s">
        <v>47</v>
      </c>
      <c r="AG24" s="38" t="s">
        <v>48</v>
      </c>
      <c r="AH24" s="31" t="s">
        <v>89</v>
      </c>
    </row>
    <row r="25" spans="1:34" ht="24.75" customHeight="1" x14ac:dyDescent="0.15">
      <c r="A25" s="4">
        <f t="shared" si="0"/>
        <v>22</v>
      </c>
      <c r="B25" s="25" t="s">
        <v>35</v>
      </c>
      <c r="C25" s="6" t="s">
        <v>115</v>
      </c>
      <c r="D25" s="32"/>
      <c r="E25" s="33" t="s">
        <v>116</v>
      </c>
      <c r="F25" s="44"/>
      <c r="G25" s="45" t="s">
        <v>80</v>
      </c>
      <c r="H25" s="46" t="s">
        <v>81</v>
      </c>
      <c r="I25" s="47" t="s">
        <v>40</v>
      </c>
      <c r="J25" s="25">
        <v>28</v>
      </c>
      <c r="K25" s="48">
        <v>250</v>
      </c>
      <c r="L25" s="25">
        <v>750</v>
      </c>
      <c r="M25" s="49">
        <v>29</v>
      </c>
      <c r="N25" s="16">
        <v>208</v>
      </c>
      <c r="O25" s="17">
        <f t="shared" si="1"/>
        <v>624</v>
      </c>
      <c r="P25" s="18">
        <f t="shared" si="2"/>
        <v>93.6</v>
      </c>
      <c r="Q25" s="19">
        <f t="shared" si="3"/>
        <v>717.6</v>
      </c>
      <c r="R25" s="20">
        <f t="shared" si="8"/>
        <v>27518.400000000001</v>
      </c>
      <c r="S25" s="26">
        <v>4</v>
      </c>
      <c r="T25" s="41">
        <v>6</v>
      </c>
      <c r="U25" s="22">
        <v>6</v>
      </c>
      <c r="V25" s="23">
        <f t="shared" si="5"/>
        <v>12</v>
      </c>
      <c r="W25" s="24" t="s">
        <v>42</v>
      </c>
      <c r="X25" s="24">
        <v>0</v>
      </c>
      <c r="Y25" s="24">
        <f t="shared" si="9"/>
        <v>0</v>
      </c>
      <c r="Z25" s="25" t="s">
        <v>85</v>
      </c>
      <c r="AA25" s="26" t="s">
        <v>86</v>
      </c>
      <c r="AB25" s="27"/>
      <c r="AC25" s="27" t="s">
        <v>87</v>
      </c>
      <c r="AD25" s="28"/>
      <c r="AE25" s="42" t="s">
        <v>88</v>
      </c>
      <c r="AF25" s="30" t="s">
        <v>47</v>
      </c>
      <c r="AG25" s="38" t="s">
        <v>48</v>
      </c>
      <c r="AH25" s="31" t="s">
        <v>89</v>
      </c>
    </row>
    <row r="26" spans="1:34" ht="24.75" customHeight="1" x14ac:dyDescent="0.15">
      <c r="A26" s="4">
        <f t="shared" si="0"/>
        <v>23</v>
      </c>
      <c r="B26" s="25" t="s">
        <v>35</v>
      </c>
      <c r="C26" s="6" t="s">
        <v>117</v>
      </c>
      <c r="D26" s="32"/>
      <c r="E26" s="33" t="s">
        <v>118</v>
      </c>
      <c r="F26" s="44"/>
      <c r="G26" s="45" t="s">
        <v>80</v>
      </c>
      <c r="H26" s="46" t="s">
        <v>81</v>
      </c>
      <c r="I26" s="47" t="s">
        <v>40</v>
      </c>
      <c r="J26" s="25">
        <v>28</v>
      </c>
      <c r="K26" s="48">
        <v>250</v>
      </c>
      <c r="L26" s="25">
        <v>750</v>
      </c>
      <c r="M26" s="49">
        <v>28</v>
      </c>
      <c r="N26" s="16">
        <v>200</v>
      </c>
      <c r="O26" s="17">
        <f t="shared" si="1"/>
        <v>600</v>
      </c>
      <c r="P26" s="18">
        <f t="shared" si="2"/>
        <v>90</v>
      </c>
      <c r="Q26" s="19">
        <f t="shared" si="3"/>
        <v>690</v>
      </c>
      <c r="R26" s="20">
        <f t="shared" si="8"/>
        <v>26460</v>
      </c>
      <c r="S26" s="26">
        <v>4</v>
      </c>
      <c r="T26" s="41">
        <v>6</v>
      </c>
      <c r="U26" s="22">
        <v>4</v>
      </c>
      <c r="V26" s="23">
        <f t="shared" si="5"/>
        <v>10</v>
      </c>
      <c r="W26" s="24" t="s">
        <v>42</v>
      </c>
      <c r="X26" s="24">
        <v>0</v>
      </c>
      <c r="Y26" s="24">
        <f t="shared" si="9"/>
        <v>0</v>
      </c>
      <c r="Z26" s="25" t="s">
        <v>85</v>
      </c>
      <c r="AA26" s="26" t="s">
        <v>86</v>
      </c>
      <c r="AB26" s="27"/>
      <c r="AC26" s="27" t="s">
        <v>87</v>
      </c>
      <c r="AD26" s="28"/>
      <c r="AE26" s="42" t="s">
        <v>88</v>
      </c>
      <c r="AF26" s="30" t="s">
        <v>47</v>
      </c>
      <c r="AG26" s="38" t="s">
        <v>48</v>
      </c>
      <c r="AH26" s="31" t="s">
        <v>89</v>
      </c>
    </row>
    <row r="27" spans="1:34" ht="24.75" customHeight="1" x14ac:dyDescent="0.15">
      <c r="A27" s="4">
        <f t="shared" si="0"/>
        <v>24</v>
      </c>
      <c r="B27" s="5" t="s">
        <v>35</v>
      </c>
      <c r="C27" s="6" t="s">
        <v>119</v>
      </c>
      <c r="D27" s="32"/>
      <c r="E27" s="33" t="s">
        <v>120</v>
      </c>
      <c r="F27" s="9"/>
      <c r="G27" s="10" t="s">
        <v>80</v>
      </c>
      <c r="H27" s="11" t="s">
        <v>81</v>
      </c>
      <c r="I27" s="12" t="s">
        <v>40</v>
      </c>
      <c r="J27" s="7"/>
      <c r="K27" s="13"/>
      <c r="L27" s="14"/>
      <c r="M27" s="15">
        <v>26</v>
      </c>
      <c r="N27" s="16">
        <v>228</v>
      </c>
      <c r="O27" s="17">
        <f t="shared" si="1"/>
        <v>684</v>
      </c>
      <c r="P27" s="18">
        <f t="shared" si="2"/>
        <v>102.6</v>
      </c>
      <c r="Q27" s="19">
        <f t="shared" si="3"/>
        <v>786.6</v>
      </c>
      <c r="R27" s="20">
        <f t="shared" si="8"/>
        <v>30164.400000000001</v>
      </c>
      <c r="S27" s="21">
        <v>4</v>
      </c>
      <c r="T27" s="22">
        <v>6</v>
      </c>
      <c r="U27" s="22">
        <v>4</v>
      </c>
      <c r="V27" s="23">
        <f t="shared" si="5"/>
        <v>10</v>
      </c>
      <c r="W27" s="24" t="s">
        <v>42</v>
      </c>
      <c r="X27" s="24">
        <v>0</v>
      </c>
      <c r="Y27" s="24">
        <f t="shared" si="9"/>
        <v>0</v>
      </c>
      <c r="Z27" s="25" t="s">
        <v>85</v>
      </c>
      <c r="AA27" s="26" t="s">
        <v>86</v>
      </c>
      <c r="AB27" s="27"/>
      <c r="AC27" s="27" t="s">
        <v>87</v>
      </c>
      <c r="AD27" s="28"/>
      <c r="AE27" s="42" t="s">
        <v>88</v>
      </c>
      <c r="AF27" s="30" t="s">
        <v>47</v>
      </c>
      <c r="AG27" s="38" t="s">
        <v>48</v>
      </c>
      <c r="AH27" s="31" t="s">
        <v>89</v>
      </c>
    </row>
    <row r="28" spans="1:34" ht="24.75" customHeight="1" x14ac:dyDescent="0.15">
      <c r="A28" s="4">
        <f t="shared" si="0"/>
        <v>25</v>
      </c>
      <c r="B28" s="34" t="s">
        <v>35</v>
      </c>
      <c r="C28" s="35" t="s">
        <v>121</v>
      </c>
      <c r="D28" s="50"/>
      <c r="E28" s="51" t="s">
        <v>122</v>
      </c>
      <c r="F28" s="9"/>
      <c r="G28" s="10" t="s">
        <v>123</v>
      </c>
      <c r="H28" s="11" t="s">
        <v>124</v>
      </c>
      <c r="I28" s="12" t="s">
        <v>40</v>
      </c>
      <c r="J28" s="7"/>
      <c r="K28" s="13"/>
      <c r="L28" s="14"/>
      <c r="M28" s="15">
        <v>15</v>
      </c>
      <c r="N28" s="16">
        <v>185</v>
      </c>
      <c r="O28" s="17">
        <f t="shared" si="1"/>
        <v>555</v>
      </c>
      <c r="P28" s="18">
        <f t="shared" si="2"/>
        <v>83.25</v>
      </c>
      <c r="Q28" s="19">
        <f t="shared" si="3"/>
        <v>638.25</v>
      </c>
      <c r="R28" s="20">
        <f t="shared" si="8"/>
        <v>24475.5</v>
      </c>
      <c r="S28" s="21">
        <v>3</v>
      </c>
      <c r="T28" s="22">
        <v>4</v>
      </c>
      <c r="U28" s="22">
        <v>6</v>
      </c>
      <c r="V28" s="23">
        <f t="shared" si="5"/>
        <v>10</v>
      </c>
      <c r="W28" s="24" t="s">
        <v>42</v>
      </c>
      <c r="X28" s="24">
        <v>3</v>
      </c>
      <c r="Y28" s="24">
        <v>9</v>
      </c>
      <c r="Z28" s="25" t="s">
        <v>125</v>
      </c>
      <c r="AA28" s="26" t="s">
        <v>86</v>
      </c>
      <c r="AB28" s="27"/>
      <c r="AC28" s="27" t="s">
        <v>126</v>
      </c>
      <c r="AD28" s="28"/>
      <c r="AE28" s="29" t="s">
        <v>127</v>
      </c>
      <c r="AF28" s="30" t="s">
        <v>47</v>
      </c>
      <c r="AG28" s="31" t="s">
        <v>49</v>
      </c>
      <c r="AH28" s="31" t="s">
        <v>48</v>
      </c>
    </row>
    <row r="29" spans="1:34" ht="24.75" customHeight="1" x14ac:dyDescent="0.15">
      <c r="A29" s="4">
        <f t="shared" si="0"/>
        <v>26</v>
      </c>
      <c r="B29" s="34" t="s">
        <v>35</v>
      </c>
      <c r="C29" s="35" t="s">
        <v>128</v>
      </c>
      <c r="D29" s="50"/>
      <c r="E29" s="51" t="s">
        <v>129</v>
      </c>
      <c r="F29" s="9"/>
      <c r="G29" s="10" t="s">
        <v>123</v>
      </c>
      <c r="H29" s="11" t="s">
        <v>124</v>
      </c>
      <c r="I29" s="12" t="s">
        <v>40</v>
      </c>
      <c r="J29" s="7"/>
      <c r="K29" s="13"/>
      <c r="L29" s="14"/>
      <c r="M29" s="15">
        <v>15</v>
      </c>
      <c r="N29" s="16">
        <v>190</v>
      </c>
      <c r="O29" s="17">
        <f t="shared" si="1"/>
        <v>570</v>
      </c>
      <c r="P29" s="18">
        <f t="shared" si="2"/>
        <v>85.5</v>
      </c>
      <c r="Q29" s="19">
        <f t="shared" si="3"/>
        <v>655.5</v>
      </c>
      <c r="R29" s="20">
        <f t="shared" si="8"/>
        <v>25137</v>
      </c>
      <c r="S29" s="21">
        <v>3</v>
      </c>
      <c r="T29" s="22">
        <v>4</v>
      </c>
      <c r="U29" s="22">
        <v>6</v>
      </c>
      <c r="V29" s="23">
        <f t="shared" si="5"/>
        <v>10</v>
      </c>
      <c r="W29" s="24" t="s">
        <v>42</v>
      </c>
      <c r="X29" s="24">
        <v>3</v>
      </c>
      <c r="Y29" s="24">
        <v>9</v>
      </c>
      <c r="Z29" s="25" t="s">
        <v>43</v>
      </c>
      <c r="AA29" s="26" t="s">
        <v>86</v>
      </c>
      <c r="AB29" s="27"/>
      <c r="AC29" s="27" t="s">
        <v>126</v>
      </c>
      <c r="AD29" s="28"/>
      <c r="AE29" s="29" t="s">
        <v>127</v>
      </c>
      <c r="AF29" s="30" t="s">
        <v>47</v>
      </c>
      <c r="AG29" s="31" t="s">
        <v>48</v>
      </c>
      <c r="AH29" s="31" t="s">
        <v>48</v>
      </c>
    </row>
    <row r="30" spans="1:34" ht="24.75" customHeight="1" x14ac:dyDescent="0.15">
      <c r="A30" s="4">
        <f t="shared" si="0"/>
        <v>27</v>
      </c>
      <c r="B30" s="5" t="s">
        <v>35</v>
      </c>
      <c r="C30" s="52" t="s">
        <v>130</v>
      </c>
      <c r="D30" s="53"/>
      <c r="E30" s="54" t="s">
        <v>131</v>
      </c>
      <c r="F30" s="9"/>
      <c r="G30" s="10" t="s">
        <v>132</v>
      </c>
      <c r="H30" s="11" t="s">
        <v>67</v>
      </c>
      <c r="I30" s="12" t="s">
        <v>40</v>
      </c>
      <c r="J30" s="7"/>
      <c r="K30" s="13"/>
      <c r="L30" s="14"/>
      <c r="M30" s="15">
        <v>24</v>
      </c>
      <c r="N30" s="16">
        <v>310</v>
      </c>
      <c r="O30" s="17">
        <f t="shared" si="1"/>
        <v>930</v>
      </c>
      <c r="P30" s="18">
        <f t="shared" si="2"/>
        <v>139.5</v>
      </c>
      <c r="Q30" s="19">
        <f t="shared" si="3"/>
        <v>1069.5</v>
      </c>
      <c r="R30" s="20">
        <f t="shared" si="8"/>
        <v>41013</v>
      </c>
      <c r="S30" s="21">
        <v>4</v>
      </c>
      <c r="T30" s="22">
        <v>6</v>
      </c>
      <c r="U30" s="22">
        <v>6</v>
      </c>
      <c r="V30" s="23">
        <f t="shared" si="5"/>
        <v>12</v>
      </c>
      <c r="W30" s="24" t="s">
        <v>133</v>
      </c>
      <c r="X30" s="24">
        <v>0</v>
      </c>
      <c r="Y30" s="24">
        <f t="shared" ref="Y30:Y41" si="10">SUMIF($W$126,"ON GOING",V126)</f>
        <v>0</v>
      </c>
      <c r="Z30" s="25" t="s">
        <v>134</v>
      </c>
      <c r="AA30" s="26" t="s">
        <v>86</v>
      </c>
      <c r="AB30" s="27"/>
      <c r="AC30" s="27" t="s">
        <v>135</v>
      </c>
      <c r="AD30" s="28"/>
      <c r="AE30" s="42" t="s">
        <v>61</v>
      </c>
      <c r="AF30" s="55"/>
      <c r="AG30" s="31" t="s">
        <v>48</v>
      </c>
      <c r="AH30" s="31" t="s">
        <v>89</v>
      </c>
    </row>
    <row r="31" spans="1:34" ht="24.75" customHeight="1" x14ac:dyDescent="0.15">
      <c r="A31" s="4">
        <f t="shared" si="0"/>
        <v>28</v>
      </c>
      <c r="B31" s="5" t="s">
        <v>35</v>
      </c>
      <c r="C31" s="52" t="s">
        <v>136</v>
      </c>
      <c r="D31" s="53"/>
      <c r="E31" s="54" t="s">
        <v>137</v>
      </c>
      <c r="F31" s="9"/>
      <c r="G31" s="10" t="s">
        <v>132</v>
      </c>
      <c r="H31" s="11" t="s">
        <v>67</v>
      </c>
      <c r="I31" s="12" t="s">
        <v>40</v>
      </c>
      <c r="J31" s="7"/>
      <c r="K31" s="13"/>
      <c r="L31" s="14"/>
      <c r="M31" s="15">
        <v>24</v>
      </c>
      <c r="N31" s="16">
        <v>310</v>
      </c>
      <c r="O31" s="17">
        <f t="shared" si="1"/>
        <v>930</v>
      </c>
      <c r="P31" s="18">
        <f t="shared" si="2"/>
        <v>139.5</v>
      </c>
      <c r="Q31" s="19">
        <f t="shared" si="3"/>
        <v>1069.5</v>
      </c>
      <c r="R31" s="20">
        <f t="shared" si="8"/>
        <v>41013</v>
      </c>
      <c r="S31" s="21">
        <v>4</v>
      </c>
      <c r="T31" s="22">
        <v>6</v>
      </c>
      <c r="U31" s="22">
        <v>6</v>
      </c>
      <c r="V31" s="23">
        <f t="shared" si="5"/>
        <v>12</v>
      </c>
      <c r="W31" s="24" t="s">
        <v>133</v>
      </c>
      <c r="X31" s="24">
        <v>0</v>
      </c>
      <c r="Y31" s="24">
        <f t="shared" si="10"/>
        <v>0</v>
      </c>
      <c r="Z31" s="25" t="s">
        <v>134</v>
      </c>
      <c r="AA31" s="26" t="s">
        <v>86</v>
      </c>
      <c r="AB31" s="27"/>
      <c r="AC31" s="27" t="s">
        <v>135</v>
      </c>
      <c r="AD31" s="28"/>
      <c r="AE31" s="42" t="s">
        <v>61</v>
      </c>
      <c r="AF31" s="55"/>
      <c r="AG31" s="31" t="s">
        <v>48</v>
      </c>
      <c r="AH31" s="31" t="s">
        <v>89</v>
      </c>
    </row>
    <row r="32" spans="1:34" ht="24.75" customHeight="1" x14ac:dyDescent="0.15">
      <c r="A32" s="4">
        <f t="shared" si="0"/>
        <v>29</v>
      </c>
      <c r="B32" s="5" t="s">
        <v>35</v>
      </c>
      <c r="C32" s="52" t="s">
        <v>138</v>
      </c>
      <c r="D32" s="53"/>
      <c r="E32" s="54" t="s">
        <v>139</v>
      </c>
      <c r="F32" s="9"/>
      <c r="G32" s="10" t="s">
        <v>132</v>
      </c>
      <c r="H32" s="11" t="s">
        <v>67</v>
      </c>
      <c r="I32" s="12" t="s">
        <v>40</v>
      </c>
      <c r="J32" s="7"/>
      <c r="K32" s="13"/>
      <c r="L32" s="14"/>
      <c r="M32" s="15">
        <v>24</v>
      </c>
      <c r="N32" s="16">
        <v>310</v>
      </c>
      <c r="O32" s="17">
        <f t="shared" si="1"/>
        <v>930</v>
      </c>
      <c r="P32" s="18">
        <f t="shared" si="2"/>
        <v>139.5</v>
      </c>
      <c r="Q32" s="19">
        <f t="shared" si="3"/>
        <v>1069.5</v>
      </c>
      <c r="R32" s="20">
        <f t="shared" si="8"/>
        <v>41013</v>
      </c>
      <c r="S32" s="21">
        <v>4</v>
      </c>
      <c r="T32" s="22">
        <v>6</v>
      </c>
      <c r="U32" s="22">
        <v>6</v>
      </c>
      <c r="V32" s="23">
        <f t="shared" si="5"/>
        <v>12</v>
      </c>
      <c r="W32" s="24" t="s">
        <v>133</v>
      </c>
      <c r="X32" s="24">
        <v>0</v>
      </c>
      <c r="Y32" s="24">
        <f t="shared" si="10"/>
        <v>0</v>
      </c>
      <c r="Z32" s="25" t="s">
        <v>134</v>
      </c>
      <c r="AA32" s="26" t="s">
        <v>86</v>
      </c>
      <c r="AB32" s="27"/>
      <c r="AC32" s="27" t="s">
        <v>135</v>
      </c>
      <c r="AD32" s="28"/>
      <c r="AE32" s="42" t="s">
        <v>61</v>
      </c>
      <c r="AF32" s="55"/>
      <c r="AG32" s="31" t="s">
        <v>48</v>
      </c>
      <c r="AH32" s="31" t="s">
        <v>89</v>
      </c>
    </row>
    <row r="33" spans="1:34" ht="24.75" customHeight="1" x14ac:dyDescent="0.15">
      <c r="A33" s="4">
        <f t="shared" si="0"/>
        <v>30</v>
      </c>
      <c r="B33" s="5" t="s">
        <v>35</v>
      </c>
      <c r="C33" s="52" t="s">
        <v>140</v>
      </c>
      <c r="D33" s="53"/>
      <c r="E33" s="54" t="s">
        <v>141</v>
      </c>
      <c r="F33" s="9"/>
      <c r="G33" s="10" t="s">
        <v>132</v>
      </c>
      <c r="H33" s="11" t="s">
        <v>67</v>
      </c>
      <c r="I33" s="12" t="s">
        <v>40</v>
      </c>
      <c r="J33" s="7"/>
      <c r="K33" s="13"/>
      <c r="L33" s="14"/>
      <c r="M33" s="15">
        <v>24</v>
      </c>
      <c r="N33" s="16">
        <v>310</v>
      </c>
      <c r="O33" s="17">
        <f t="shared" si="1"/>
        <v>930</v>
      </c>
      <c r="P33" s="18">
        <f t="shared" si="2"/>
        <v>139.5</v>
      </c>
      <c r="Q33" s="19">
        <f t="shared" si="3"/>
        <v>1069.5</v>
      </c>
      <c r="R33" s="20">
        <f t="shared" si="8"/>
        <v>41013</v>
      </c>
      <c r="S33" s="21">
        <v>4</v>
      </c>
      <c r="T33" s="22">
        <v>6</v>
      </c>
      <c r="U33" s="22">
        <v>6</v>
      </c>
      <c r="V33" s="23">
        <f t="shared" si="5"/>
        <v>12</v>
      </c>
      <c r="W33" s="24" t="s">
        <v>133</v>
      </c>
      <c r="X33" s="24">
        <v>0</v>
      </c>
      <c r="Y33" s="24">
        <f t="shared" si="10"/>
        <v>0</v>
      </c>
      <c r="Z33" s="25" t="s">
        <v>134</v>
      </c>
      <c r="AA33" s="26" t="s">
        <v>86</v>
      </c>
      <c r="AB33" s="27"/>
      <c r="AC33" s="27" t="s">
        <v>135</v>
      </c>
      <c r="AD33" s="28"/>
      <c r="AE33" s="42" t="s">
        <v>61</v>
      </c>
      <c r="AF33" s="55"/>
      <c r="AG33" s="31" t="s">
        <v>48</v>
      </c>
      <c r="AH33" s="31" t="s">
        <v>89</v>
      </c>
    </row>
    <row r="34" spans="1:34" ht="24.75" customHeight="1" x14ac:dyDescent="0.15">
      <c r="A34" s="4">
        <f t="shared" si="0"/>
        <v>31</v>
      </c>
      <c r="B34" s="5" t="s">
        <v>35</v>
      </c>
      <c r="C34" s="52" t="s">
        <v>142</v>
      </c>
      <c r="D34" s="53"/>
      <c r="E34" s="54" t="s">
        <v>143</v>
      </c>
      <c r="F34" s="9"/>
      <c r="G34" s="10" t="s">
        <v>132</v>
      </c>
      <c r="H34" s="11" t="s">
        <v>67</v>
      </c>
      <c r="I34" s="12" t="s">
        <v>40</v>
      </c>
      <c r="J34" s="7"/>
      <c r="K34" s="13"/>
      <c r="L34" s="14"/>
      <c r="M34" s="15">
        <v>24</v>
      </c>
      <c r="N34" s="16">
        <v>310</v>
      </c>
      <c r="O34" s="17">
        <f t="shared" si="1"/>
        <v>930</v>
      </c>
      <c r="P34" s="18">
        <f t="shared" si="2"/>
        <v>139.5</v>
      </c>
      <c r="Q34" s="19">
        <f t="shared" si="3"/>
        <v>1069.5</v>
      </c>
      <c r="R34" s="20">
        <f t="shared" si="8"/>
        <v>41013</v>
      </c>
      <c r="S34" s="21">
        <v>4</v>
      </c>
      <c r="T34" s="22">
        <v>6</v>
      </c>
      <c r="U34" s="22">
        <v>6</v>
      </c>
      <c r="V34" s="23">
        <f t="shared" si="5"/>
        <v>12</v>
      </c>
      <c r="W34" s="24" t="s">
        <v>133</v>
      </c>
      <c r="X34" s="24">
        <v>0</v>
      </c>
      <c r="Y34" s="24">
        <f t="shared" si="10"/>
        <v>0</v>
      </c>
      <c r="Z34" s="25" t="s">
        <v>134</v>
      </c>
      <c r="AA34" s="26" t="s">
        <v>86</v>
      </c>
      <c r="AB34" s="27"/>
      <c r="AC34" s="27" t="s">
        <v>135</v>
      </c>
      <c r="AD34" s="28"/>
      <c r="AE34" s="42" t="s">
        <v>61</v>
      </c>
      <c r="AF34" s="55"/>
      <c r="AG34" s="31" t="s">
        <v>48</v>
      </c>
      <c r="AH34" s="31" t="s">
        <v>89</v>
      </c>
    </row>
    <row r="35" spans="1:34" ht="24.75" customHeight="1" x14ac:dyDescent="0.15">
      <c r="A35" s="4">
        <f t="shared" si="0"/>
        <v>32</v>
      </c>
      <c r="B35" s="5" t="s">
        <v>35</v>
      </c>
      <c r="C35" s="52" t="s">
        <v>144</v>
      </c>
      <c r="D35" s="53"/>
      <c r="E35" s="54" t="s">
        <v>145</v>
      </c>
      <c r="F35" s="9"/>
      <c r="G35" s="10" t="s">
        <v>132</v>
      </c>
      <c r="H35" s="11" t="s">
        <v>67</v>
      </c>
      <c r="I35" s="12" t="s">
        <v>40</v>
      </c>
      <c r="J35" s="7"/>
      <c r="K35" s="13"/>
      <c r="L35" s="14"/>
      <c r="M35" s="15">
        <v>24</v>
      </c>
      <c r="N35" s="16">
        <v>310</v>
      </c>
      <c r="O35" s="17">
        <f t="shared" si="1"/>
        <v>930</v>
      </c>
      <c r="P35" s="18">
        <f t="shared" si="2"/>
        <v>139.5</v>
      </c>
      <c r="Q35" s="19">
        <f t="shared" si="3"/>
        <v>1069.5</v>
      </c>
      <c r="R35" s="20">
        <f t="shared" si="8"/>
        <v>41013</v>
      </c>
      <c r="S35" s="21">
        <v>4</v>
      </c>
      <c r="T35" s="22">
        <v>6</v>
      </c>
      <c r="U35" s="22">
        <v>6</v>
      </c>
      <c r="V35" s="23">
        <f t="shared" si="5"/>
        <v>12</v>
      </c>
      <c r="W35" s="24" t="s">
        <v>133</v>
      </c>
      <c r="X35" s="24">
        <v>0</v>
      </c>
      <c r="Y35" s="24">
        <f t="shared" si="10"/>
        <v>0</v>
      </c>
      <c r="Z35" s="25" t="s">
        <v>134</v>
      </c>
      <c r="AA35" s="26" t="s">
        <v>86</v>
      </c>
      <c r="AB35" s="27"/>
      <c r="AC35" s="27" t="s">
        <v>135</v>
      </c>
      <c r="AD35" s="28"/>
      <c r="AE35" s="42" t="s">
        <v>61</v>
      </c>
      <c r="AF35" s="55"/>
      <c r="AG35" s="31" t="s">
        <v>48</v>
      </c>
      <c r="AH35" s="31" t="s">
        <v>89</v>
      </c>
    </row>
    <row r="36" spans="1:34" ht="24.75" customHeight="1" x14ac:dyDescent="0.15">
      <c r="A36" s="4">
        <f t="shared" si="0"/>
        <v>33</v>
      </c>
      <c r="B36" s="5" t="s">
        <v>35</v>
      </c>
      <c r="C36" s="52" t="str">
        <f t="shared" ref="C36:C42" si="11">UPPER(SUBSTITUTE(E36, " ", ""))</f>
        <v>BCONSCITYBLOCKA1A</v>
      </c>
      <c r="D36" s="53"/>
      <c r="E36" s="54" t="s">
        <v>146</v>
      </c>
      <c r="F36" s="9"/>
      <c r="G36" s="10" t="s">
        <v>147</v>
      </c>
      <c r="H36" s="11" t="s">
        <v>148</v>
      </c>
      <c r="I36" s="12" t="s">
        <v>40</v>
      </c>
      <c r="J36" s="7"/>
      <c r="K36" s="13"/>
      <c r="L36" s="14"/>
      <c r="M36" s="15">
        <v>22</v>
      </c>
      <c r="N36" s="16">
        <v>650</v>
      </c>
      <c r="O36" s="17">
        <f t="shared" si="1"/>
        <v>1950</v>
      </c>
      <c r="P36" s="18">
        <f t="shared" si="2"/>
        <v>292.5</v>
      </c>
      <c r="Q36" s="19">
        <f t="shared" si="3"/>
        <v>2242.5</v>
      </c>
      <c r="R36" s="20">
        <f t="shared" si="8"/>
        <v>85995</v>
      </c>
      <c r="S36" s="21">
        <v>3</v>
      </c>
      <c r="T36" s="22">
        <v>6</v>
      </c>
      <c r="U36" s="22">
        <v>8</v>
      </c>
      <c r="V36" s="23">
        <f t="shared" si="5"/>
        <v>14</v>
      </c>
      <c r="W36" s="24" t="s">
        <v>133</v>
      </c>
      <c r="X36" s="24">
        <v>0</v>
      </c>
      <c r="Y36" s="24">
        <f t="shared" si="10"/>
        <v>0</v>
      </c>
      <c r="Z36" s="25" t="s">
        <v>149</v>
      </c>
      <c r="AA36" s="26" t="s">
        <v>150</v>
      </c>
      <c r="AB36" s="27"/>
      <c r="AC36" s="27"/>
      <c r="AD36" s="28"/>
      <c r="AE36" s="55"/>
      <c r="AF36" s="55"/>
      <c r="AG36" s="56"/>
      <c r="AH36" s="56"/>
    </row>
    <row r="37" spans="1:34" ht="24.75" customHeight="1" x14ac:dyDescent="0.15">
      <c r="A37" s="4">
        <f t="shared" si="0"/>
        <v>34</v>
      </c>
      <c r="B37" s="5" t="s">
        <v>35</v>
      </c>
      <c r="C37" s="52" t="str">
        <f t="shared" si="11"/>
        <v>BCONSCITYBLOCKA1B</v>
      </c>
      <c r="D37" s="53"/>
      <c r="E37" s="54" t="s">
        <v>151</v>
      </c>
      <c r="F37" s="9"/>
      <c r="G37" s="10" t="s">
        <v>147</v>
      </c>
      <c r="H37" s="11" t="s">
        <v>148</v>
      </c>
      <c r="I37" s="12" t="s">
        <v>40</v>
      </c>
      <c r="J37" s="7"/>
      <c r="K37" s="13"/>
      <c r="L37" s="14"/>
      <c r="M37" s="15">
        <v>22</v>
      </c>
      <c r="N37" s="16">
        <v>650</v>
      </c>
      <c r="O37" s="17">
        <f t="shared" si="1"/>
        <v>1950</v>
      </c>
      <c r="P37" s="18">
        <f t="shared" si="2"/>
        <v>292.5</v>
      </c>
      <c r="Q37" s="19">
        <f t="shared" si="3"/>
        <v>2242.5</v>
      </c>
      <c r="R37" s="20">
        <f t="shared" si="8"/>
        <v>85995</v>
      </c>
      <c r="S37" s="21">
        <v>3</v>
      </c>
      <c r="T37" s="22">
        <v>6</v>
      </c>
      <c r="U37" s="22">
        <v>8</v>
      </c>
      <c r="V37" s="23">
        <f t="shared" si="5"/>
        <v>14</v>
      </c>
      <c r="W37" s="24" t="s">
        <v>133</v>
      </c>
      <c r="X37" s="24">
        <v>0</v>
      </c>
      <c r="Y37" s="24">
        <f t="shared" si="10"/>
        <v>0</v>
      </c>
      <c r="Z37" s="25" t="s">
        <v>149</v>
      </c>
      <c r="AA37" s="26" t="s">
        <v>150</v>
      </c>
      <c r="AB37" s="27"/>
      <c r="AC37" s="27"/>
      <c r="AD37" s="28"/>
      <c r="AE37" s="55"/>
      <c r="AF37" s="55"/>
      <c r="AG37" s="56"/>
      <c r="AH37" s="56"/>
    </row>
    <row r="38" spans="1:34" ht="24.75" customHeight="1" x14ac:dyDescent="0.15">
      <c r="A38" s="4">
        <f t="shared" si="0"/>
        <v>35</v>
      </c>
      <c r="B38" s="5" t="s">
        <v>35</v>
      </c>
      <c r="C38" s="52" t="str">
        <f t="shared" si="11"/>
        <v>BCONSCITYBLOCKA2</v>
      </c>
      <c r="D38" s="53"/>
      <c r="E38" s="54" t="s">
        <v>152</v>
      </c>
      <c r="F38" s="9"/>
      <c r="G38" s="10" t="s">
        <v>147</v>
      </c>
      <c r="H38" s="11" t="s">
        <v>148</v>
      </c>
      <c r="I38" s="12" t="s">
        <v>40</v>
      </c>
      <c r="J38" s="7"/>
      <c r="K38" s="13"/>
      <c r="L38" s="14"/>
      <c r="M38" s="15">
        <v>22</v>
      </c>
      <c r="N38" s="16">
        <v>650</v>
      </c>
      <c r="O38" s="17">
        <f t="shared" si="1"/>
        <v>1950</v>
      </c>
      <c r="P38" s="18">
        <f t="shared" si="2"/>
        <v>292.5</v>
      </c>
      <c r="Q38" s="19">
        <f t="shared" si="3"/>
        <v>2242.5</v>
      </c>
      <c r="R38" s="20">
        <f t="shared" si="8"/>
        <v>85995</v>
      </c>
      <c r="S38" s="21">
        <v>2</v>
      </c>
      <c r="T38" s="22">
        <v>4</v>
      </c>
      <c r="U38" s="22">
        <v>5</v>
      </c>
      <c r="V38" s="23">
        <f t="shared" si="5"/>
        <v>9</v>
      </c>
      <c r="W38" s="24" t="s">
        <v>133</v>
      </c>
      <c r="X38" s="24">
        <v>0</v>
      </c>
      <c r="Y38" s="24">
        <f t="shared" si="10"/>
        <v>0</v>
      </c>
      <c r="Z38" s="25" t="s">
        <v>149</v>
      </c>
      <c r="AA38" s="26" t="s">
        <v>150</v>
      </c>
      <c r="AB38" s="27"/>
      <c r="AC38" s="27"/>
      <c r="AD38" s="28"/>
      <c r="AE38" s="55"/>
      <c r="AF38" s="55"/>
      <c r="AG38" s="56"/>
      <c r="AH38" s="56"/>
    </row>
    <row r="39" spans="1:34" ht="24.75" customHeight="1" x14ac:dyDescent="0.15">
      <c r="A39" s="4">
        <f t="shared" si="0"/>
        <v>36</v>
      </c>
      <c r="B39" s="5" t="s">
        <v>35</v>
      </c>
      <c r="C39" s="52" t="str">
        <f t="shared" si="11"/>
        <v>BCONSCITYBLOCKB1</v>
      </c>
      <c r="D39" s="53"/>
      <c r="E39" s="54" t="s">
        <v>153</v>
      </c>
      <c r="F39" s="9"/>
      <c r="G39" s="10" t="s">
        <v>147</v>
      </c>
      <c r="H39" s="11" t="s">
        <v>148</v>
      </c>
      <c r="I39" s="12" t="s">
        <v>40</v>
      </c>
      <c r="J39" s="7"/>
      <c r="K39" s="13"/>
      <c r="L39" s="14"/>
      <c r="M39" s="15">
        <v>22</v>
      </c>
      <c r="N39" s="16">
        <v>650</v>
      </c>
      <c r="O39" s="17">
        <f t="shared" si="1"/>
        <v>1950</v>
      </c>
      <c r="P39" s="18">
        <f t="shared" si="2"/>
        <v>292.5</v>
      </c>
      <c r="Q39" s="19">
        <f t="shared" si="3"/>
        <v>2242.5</v>
      </c>
      <c r="R39" s="20">
        <f t="shared" si="8"/>
        <v>85995</v>
      </c>
      <c r="S39" s="21">
        <v>2</v>
      </c>
      <c r="T39" s="22">
        <v>4</v>
      </c>
      <c r="U39" s="22">
        <v>6</v>
      </c>
      <c r="V39" s="23">
        <f t="shared" si="5"/>
        <v>10</v>
      </c>
      <c r="W39" s="24" t="s">
        <v>133</v>
      </c>
      <c r="X39" s="24">
        <v>0</v>
      </c>
      <c r="Y39" s="24">
        <f t="shared" si="10"/>
        <v>0</v>
      </c>
      <c r="Z39" s="25" t="s">
        <v>149</v>
      </c>
      <c r="AA39" s="26" t="s">
        <v>150</v>
      </c>
      <c r="AB39" s="27"/>
      <c r="AC39" s="27"/>
      <c r="AD39" s="28"/>
      <c r="AE39" s="55"/>
      <c r="AF39" s="55"/>
      <c r="AG39" s="56"/>
      <c r="AH39" s="56"/>
    </row>
    <row r="40" spans="1:34" ht="24.75" customHeight="1" x14ac:dyDescent="0.15">
      <c r="A40" s="4">
        <f t="shared" si="0"/>
        <v>37</v>
      </c>
      <c r="B40" s="5" t="s">
        <v>35</v>
      </c>
      <c r="C40" s="52" t="str">
        <f t="shared" si="11"/>
        <v>BCONSCITYBLOCKB2A</v>
      </c>
      <c r="D40" s="53"/>
      <c r="E40" s="54" t="s">
        <v>154</v>
      </c>
      <c r="F40" s="9"/>
      <c r="G40" s="10" t="s">
        <v>147</v>
      </c>
      <c r="H40" s="11" t="s">
        <v>148</v>
      </c>
      <c r="I40" s="12" t="s">
        <v>40</v>
      </c>
      <c r="J40" s="7"/>
      <c r="K40" s="13"/>
      <c r="L40" s="14"/>
      <c r="M40" s="15">
        <v>22</v>
      </c>
      <c r="N40" s="16">
        <v>650</v>
      </c>
      <c r="O40" s="17">
        <f t="shared" si="1"/>
        <v>1950</v>
      </c>
      <c r="P40" s="18">
        <f t="shared" si="2"/>
        <v>292.5</v>
      </c>
      <c r="Q40" s="19">
        <f t="shared" si="3"/>
        <v>2242.5</v>
      </c>
      <c r="R40" s="20">
        <f t="shared" si="8"/>
        <v>85995</v>
      </c>
      <c r="S40" s="21">
        <v>2</v>
      </c>
      <c r="T40" s="22">
        <v>4</v>
      </c>
      <c r="U40" s="22">
        <v>6</v>
      </c>
      <c r="V40" s="23">
        <f t="shared" si="5"/>
        <v>10</v>
      </c>
      <c r="W40" s="24" t="s">
        <v>133</v>
      </c>
      <c r="X40" s="24">
        <v>0</v>
      </c>
      <c r="Y40" s="24">
        <f t="shared" si="10"/>
        <v>0</v>
      </c>
      <c r="Z40" s="25" t="s">
        <v>149</v>
      </c>
      <c r="AA40" s="26" t="s">
        <v>150</v>
      </c>
      <c r="AB40" s="27"/>
      <c r="AC40" s="27"/>
      <c r="AD40" s="28"/>
      <c r="AE40" s="55"/>
      <c r="AF40" s="55"/>
      <c r="AG40" s="56"/>
      <c r="AH40" s="56"/>
    </row>
    <row r="41" spans="1:34" ht="24.75" customHeight="1" x14ac:dyDescent="0.15">
      <c r="A41" s="4">
        <f t="shared" si="0"/>
        <v>38</v>
      </c>
      <c r="B41" s="5" t="s">
        <v>35</v>
      </c>
      <c r="C41" s="52" t="str">
        <f t="shared" si="11"/>
        <v>BCONSCITYBLOCKB2B</v>
      </c>
      <c r="D41" s="53"/>
      <c r="E41" s="54" t="s">
        <v>155</v>
      </c>
      <c r="F41" s="9"/>
      <c r="G41" s="10" t="s">
        <v>147</v>
      </c>
      <c r="H41" s="11" t="s">
        <v>148</v>
      </c>
      <c r="I41" s="12" t="s">
        <v>40</v>
      </c>
      <c r="J41" s="7"/>
      <c r="K41" s="13"/>
      <c r="L41" s="14"/>
      <c r="M41" s="15">
        <v>22</v>
      </c>
      <c r="N41" s="16">
        <v>650</v>
      </c>
      <c r="O41" s="17">
        <f t="shared" si="1"/>
        <v>1950</v>
      </c>
      <c r="P41" s="18">
        <f t="shared" si="2"/>
        <v>292.5</v>
      </c>
      <c r="Q41" s="19">
        <f t="shared" si="3"/>
        <v>2242.5</v>
      </c>
      <c r="R41" s="20">
        <f t="shared" si="8"/>
        <v>85995</v>
      </c>
      <c r="S41" s="21">
        <v>2</v>
      </c>
      <c r="T41" s="22">
        <v>4</v>
      </c>
      <c r="U41" s="22">
        <v>6</v>
      </c>
      <c r="V41" s="23">
        <f t="shared" si="5"/>
        <v>10</v>
      </c>
      <c r="W41" s="24" t="s">
        <v>133</v>
      </c>
      <c r="X41" s="24">
        <v>0</v>
      </c>
      <c r="Y41" s="24">
        <f t="shared" si="10"/>
        <v>0</v>
      </c>
      <c r="Z41" s="25" t="s">
        <v>149</v>
      </c>
      <c r="AA41" s="26" t="s">
        <v>150</v>
      </c>
      <c r="AB41" s="27"/>
      <c r="AC41" s="27"/>
      <c r="AD41" s="28"/>
      <c r="AE41" s="55"/>
      <c r="AF41" s="55"/>
      <c r="AG41" s="56"/>
      <c r="AH41" s="56"/>
    </row>
    <row r="42" spans="1:34" ht="24.75" customHeight="1" x14ac:dyDescent="0.15">
      <c r="A42" s="4">
        <f t="shared" si="0"/>
        <v>39</v>
      </c>
      <c r="B42" s="34" t="s">
        <v>35</v>
      </c>
      <c r="C42" s="57" t="str">
        <f t="shared" si="11"/>
        <v>TOPAZHOME2BBLOCKC</v>
      </c>
      <c r="D42" s="36"/>
      <c r="E42" s="37" t="s">
        <v>156</v>
      </c>
      <c r="F42" s="9"/>
      <c r="G42" s="10" t="s">
        <v>157</v>
      </c>
      <c r="H42" s="11" t="s">
        <v>158</v>
      </c>
      <c r="I42" s="12" t="s">
        <v>40</v>
      </c>
      <c r="J42" s="7"/>
      <c r="K42" s="13"/>
      <c r="L42" s="14"/>
      <c r="M42" s="15">
        <v>17</v>
      </c>
      <c r="N42" s="14">
        <v>195</v>
      </c>
      <c r="O42" s="17">
        <f t="shared" si="1"/>
        <v>585</v>
      </c>
      <c r="P42" s="18">
        <f t="shared" si="2"/>
        <v>87.75</v>
      </c>
      <c r="Q42" s="19">
        <f t="shared" si="3"/>
        <v>672.75</v>
      </c>
      <c r="R42" s="20">
        <f t="shared" si="8"/>
        <v>25798.5</v>
      </c>
      <c r="S42" s="21">
        <v>4</v>
      </c>
      <c r="T42" s="22">
        <v>4</v>
      </c>
      <c r="U42" s="22">
        <v>6</v>
      </c>
      <c r="V42" s="23">
        <f t="shared" si="5"/>
        <v>10</v>
      </c>
      <c r="W42" s="24" t="s">
        <v>133</v>
      </c>
      <c r="X42" s="58">
        <v>4</v>
      </c>
      <c r="Y42" s="58">
        <v>4</v>
      </c>
      <c r="Z42" s="25" t="s">
        <v>159</v>
      </c>
      <c r="AA42" s="26" t="s">
        <v>86</v>
      </c>
      <c r="AB42" s="27"/>
      <c r="AC42" s="27"/>
      <c r="AD42" s="28"/>
      <c r="AE42" s="29" t="s">
        <v>160</v>
      </c>
      <c r="AF42" s="30" t="s">
        <v>47</v>
      </c>
      <c r="AG42" s="31" t="s">
        <v>48</v>
      </c>
      <c r="AH42" s="31" t="s">
        <v>48</v>
      </c>
    </row>
    <row r="43" spans="1:34" ht="24.75" customHeight="1" x14ac:dyDescent="0.15">
      <c r="A43" s="4">
        <f t="shared" si="0"/>
        <v>40</v>
      </c>
      <c r="B43" s="34" t="s">
        <v>35</v>
      </c>
      <c r="C43" s="57" t="str">
        <f>UPPER(SUBSTITUTE(E43, " ", ""))</f>
        <v>TOPAZHOME2BBLOCKA</v>
      </c>
      <c r="D43" s="36"/>
      <c r="E43" s="37" t="s">
        <v>161</v>
      </c>
      <c r="F43" s="9"/>
      <c r="G43" s="10" t="s">
        <v>157</v>
      </c>
      <c r="H43" s="11" t="s">
        <v>158</v>
      </c>
      <c r="I43" s="12" t="s">
        <v>40</v>
      </c>
      <c r="J43" s="7"/>
      <c r="K43" s="13"/>
      <c r="L43" s="14"/>
      <c r="M43" s="15">
        <v>17</v>
      </c>
      <c r="N43" s="14">
        <v>195</v>
      </c>
      <c r="O43" s="17">
        <f>N43*3</f>
        <v>585</v>
      </c>
      <c r="P43" s="18">
        <f>O43*15%</f>
        <v>87.75</v>
      </c>
      <c r="Q43" s="19">
        <f>SUM(O43:P43)</f>
        <v>672.75</v>
      </c>
      <c r="R43" s="20">
        <f>(O43*7*6)+(P43*7*2)</f>
        <v>25798.5</v>
      </c>
      <c r="S43" s="21">
        <v>3</v>
      </c>
      <c r="T43" s="22">
        <v>4</v>
      </c>
      <c r="U43" s="22">
        <v>4</v>
      </c>
      <c r="V43" s="23">
        <f>T43+U43</f>
        <v>8</v>
      </c>
      <c r="W43" s="24" t="s">
        <v>133</v>
      </c>
      <c r="X43" s="58">
        <v>3</v>
      </c>
      <c r="Y43" s="58">
        <v>3</v>
      </c>
      <c r="Z43" s="25" t="s">
        <v>159</v>
      </c>
      <c r="AA43" s="26" t="s">
        <v>86</v>
      </c>
      <c r="AB43" s="27"/>
      <c r="AC43" s="27"/>
      <c r="AD43" s="28"/>
      <c r="AE43" s="29" t="s">
        <v>160</v>
      </c>
      <c r="AF43" s="30" t="s">
        <v>47</v>
      </c>
      <c r="AG43" s="31" t="s">
        <v>48</v>
      </c>
      <c r="AH43" s="31" t="s">
        <v>48</v>
      </c>
    </row>
    <row r="44" spans="1:34" ht="24.5" customHeight="1" x14ac:dyDescent="0.15">
      <c r="A44" s="4">
        <f t="shared" si="0"/>
        <v>41</v>
      </c>
      <c r="B44" s="34" t="s">
        <v>35</v>
      </c>
      <c r="C44" s="57" t="str">
        <f>UPPER(SUBSTITUTE(E44, " ", ""))</f>
        <v>TOPAZHOME2BBLOCKB</v>
      </c>
      <c r="D44" s="36"/>
      <c r="E44" s="37" t="s">
        <v>162</v>
      </c>
      <c r="F44" s="9"/>
      <c r="G44" s="10" t="s">
        <v>157</v>
      </c>
      <c r="H44" s="11" t="s">
        <v>158</v>
      </c>
      <c r="I44" s="12" t="s">
        <v>40</v>
      </c>
      <c r="J44" s="7"/>
      <c r="K44" s="13"/>
      <c r="L44" s="14"/>
      <c r="M44" s="15">
        <v>17</v>
      </c>
      <c r="N44" s="14">
        <v>195</v>
      </c>
      <c r="O44" s="17">
        <f>N44*3</f>
        <v>585</v>
      </c>
      <c r="P44" s="18">
        <f>O44*15%</f>
        <v>87.75</v>
      </c>
      <c r="Q44" s="19">
        <f>SUM(O44:P44)</f>
        <v>672.75</v>
      </c>
      <c r="R44" s="20">
        <f>(O44*7*6)+(P44*7*2)</f>
        <v>25798.5</v>
      </c>
      <c r="S44" s="21">
        <v>3</v>
      </c>
      <c r="T44" s="22">
        <v>4</v>
      </c>
      <c r="U44" s="22">
        <v>4</v>
      </c>
      <c r="V44" s="23">
        <f>T44+U44</f>
        <v>8</v>
      </c>
      <c r="W44" s="24" t="s">
        <v>133</v>
      </c>
      <c r="X44" s="58">
        <v>3</v>
      </c>
      <c r="Y44" s="58">
        <v>3</v>
      </c>
      <c r="Z44" s="25" t="s">
        <v>159</v>
      </c>
      <c r="AA44" s="26" t="s">
        <v>86</v>
      </c>
      <c r="AB44" s="27"/>
      <c r="AC44" s="27"/>
      <c r="AD44" s="28"/>
      <c r="AE44" s="29" t="s">
        <v>160</v>
      </c>
      <c r="AF44" s="30" t="s">
        <v>47</v>
      </c>
      <c r="AG44" s="31" t="s">
        <v>49</v>
      </c>
      <c r="AH44" s="31" t="s">
        <v>48</v>
      </c>
    </row>
    <row r="45" spans="1:34" ht="24.5" customHeight="1" x14ac:dyDescent="0.15">
      <c r="A45" s="4">
        <f t="shared" si="0"/>
        <v>42</v>
      </c>
      <c r="B45" s="34" t="s">
        <v>35</v>
      </c>
      <c r="C45" s="57" t="str">
        <f>UPPER(SUBSTITUTE(E45, " ", ""))</f>
        <v>HABITATBLOCKA1</v>
      </c>
      <c r="D45" s="36"/>
      <c r="E45" s="37" t="s">
        <v>363</v>
      </c>
      <c r="F45" s="9"/>
      <c r="G45" s="10" t="s">
        <v>366</v>
      </c>
      <c r="H45" s="11" t="s">
        <v>365</v>
      </c>
      <c r="I45" s="12" t="s">
        <v>40</v>
      </c>
      <c r="J45" s="7"/>
      <c r="K45" s="13"/>
      <c r="L45" s="14"/>
      <c r="M45" s="15">
        <v>16</v>
      </c>
      <c r="N45" s="14">
        <v>134</v>
      </c>
      <c r="O45" s="17">
        <f>N45*3</f>
        <v>402</v>
      </c>
      <c r="P45" s="18">
        <f>O45*15%</f>
        <v>60.3</v>
      </c>
      <c r="Q45" s="19">
        <f>SUM(O45:P45)</f>
        <v>462.3</v>
      </c>
      <c r="R45" s="20">
        <f>(O45*7*6)+(P45*7*2)</f>
        <v>17728.2</v>
      </c>
      <c r="S45" s="21">
        <v>3</v>
      </c>
      <c r="T45" s="22">
        <v>4</v>
      </c>
      <c r="U45" s="22">
        <v>2</v>
      </c>
      <c r="V45" s="23">
        <f>T45+U45</f>
        <v>6</v>
      </c>
      <c r="W45" s="24" t="s">
        <v>133</v>
      </c>
      <c r="X45" s="24">
        <v>0</v>
      </c>
      <c r="Y45" s="24">
        <f t="shared" ref="Y45:Y46" si="12">SUMIF($W$126,"ON GOING",V141)</f>
        <v>0</v>
      </c>
      <c r="Z45" s="47" t="s">
        <v>367</v>
      </c>
      <c r="AA45" s="26"/>
      <c r="AB45" s="27"/>
      <c r="AC45" s="27"/>
      <c r="AD45" s="28"/>
      <c r="AE45" s="29"/>
      <c r="AF45" s="30"/>
      <c r="AG45" s="31"/>
      <c r="AH45" s="31"/>
    </row>
    <row r="46" spans="1:34" ht="24.5" customHeight="1" x14ac:dyDescent="0.15">
      <c r="A46" s="4">
        <f t="shared" si="0"/>
        <v>43</v>
      </c>
      <c r="B46" s="34" t="s">
        <v>35</v>
      </c>
      <c r="C46" s="57" t="str">
        <f>UPPER(SUBSTITUTE(E46, " ", ""))</f>
        <v>HABITATBLOCKA2</v>
      </c>
      <c r="D46" s="36"/>
      <c r="E46" s="37" t="s">
        <v>364</v>
      </c>
      <c r="F46" s="9"/>
      <c r="G46" s="10" t="s">
        <v>366</v>
      </c>
      <c r="H46" s="11" t="s">
        <v>365</v>
      </c>
      <c r="I46" s="12" t="s">
        <v>40</v>
      </c>
      <c r="J46" s="7"/>
      <c r="K46" s="13"/>
      <c r="L46" s="14"/>
      <c r="M46" s="15">
        <v>16</v>
      </c>
      <c r="N46" s="14">
        <v>133</v>
      </c>
      <c r="O46" s="17">
        <f>N46*3</f>
        <v>399</v>
      </c>
      <c r="P46" s="18">
        <f>O46*15%</f>
        <v>59.849999999999994</v>
      </c>
      <c r="Q46" s="19">
        <f>SUM(O46:P46)</f>
        <v>458.85</v>
      </c>
      <c r="R46" s="20">
        <f>(O46*7*6)+(P46*7*2)</f>
        <v>17595.900000000001</v>
      </c>
      <c r="S46" s="21">
        <v>3</v>
      </c>
      <c r="T46" s="22">
        <v>4</v>
      </c>
      <c r="U46" s="22">
        <v>2</v>
      </c>
      <c r="V46" s="23">
        <f>T46+U46</f>
        <v>6</v>
      </c>
      <c r="W46" s="24" t="s">
        <v>133</v>
      </c>
      <c r="X46" s="24">
        <v>0</v>
      </c>
      <c r="Y46" s="24">
        <f t="shared" si="12"/>
        <v>0</v>
      </c>
      <c r="Z46" s="47" t="s">
        <v>367</v>
      </c>
      <c r="AA46" s="26"/>
      <c r="AB46" s="27"/>
      <c r="AC46" s="27"/>
      <c r="AD46" s="28"/>
      <c r="AE46" s="29" t="s">
        <v>160</v>
      </c>
      <c r="AF46" s="30" t="s">
        <v>47</v>
      </c>
      <c r="AG46" s="31" t="s">
        <v>49</v>
      </c>
      <c r="AH46" s="31" t="s">
        <v>48</v>
      </c>
    </row>
    <row r="47" spans="1:34" ht="24.75" customHeight="1" x14ac:dyDescent="0.15">
      <c r="A47" s="59">
        <f>COUNTIF($W$5:$W$46,"ON AIR")</f>
        <v>25</v>
      </c>
      <c r="B47" s="163" t="s">
        <v>163</v>
      </c>
      <c r="C47" s="153"/>
      <c r="D47" s="153"/>
      <c r="E47" s="153"/>
      <c r="F47" s="153"/>
      <c r="G47" s="153"/>
      <c r="H47" s="153"/>
      <c r="I47" s="153"/>
      <c r="J47" s="61"/>
      <c r="K47" s="61"/>
      <c r="L47" s="61"/>
      <c r="M47" s="60"/>
      <c r="N47" s="62">
        <f t="shared" ref="N47:V47" si="13">SUMIF($W$5:$W$46,"ON AIR",N5:N46)</f>
        <v>4728</v>
      </c>
      <c r="O47" s="62">
        <f t="shared" si="13"/>
        <v>14184</v>
      </c>
      <c r="P47" s="62">
        <f t="shared" si="13"/>
        <v>2127.5999999999995</v>
      </c>
      <c r="Q47" s="63">
        <f t="shared" si="13"/>
        <v>16311.599999999997</v>
      </c>
      <c r="R47" s="64">
        <f t="shared" si="13"/>
        <v>625514.4</v>
      </c>
      <c r="S47" s="62">
        <f t="shared" si="13"/>
        <v>99</v>
      </c>
      <c r="T47" s="63">
        <f t="shared" si="13"/>
        <v>138</v>
      </c>
      <c r="U47" s="63">
        <f t="shared" si="13"/>
        <v>141</v>
      </c>
      <c r="V47" s="63">
        <f t="shared" si="13"/>
        <v>279</v>
      </c>
      <c r="W47" s="62"/>
      <c r="X47" s="62">
        <f>SUMIF($W$5:$W$46,"ON AIR",X5:X46)</f>
        <v>6</v>
      </c>
      <c r="Y47" s="62">
        <f>SUMIF($W$5:$W$46,"ON AIR",Y5:Y46)</f>
        <v>58</v>
      </c>
      <c r="Z47" s="65"/>
      <c r="AA47" s="65"/>
      <c r="AB47" s="66"/>
      <c r="AC47" s="66"/>
      <c r="AD47" s="67"/>
      <c r="AE47" s="67"/>
      <c r="AF47" s="67"/>
      <c r="AG47" s="67"/>
      <c r="AH47" s="67"/>
    </row>
    <row r="48" spans="1:34" ht="24.75" customHeight="1" x14ac:dyDescent="0.15">
      <c r="A48" s="68">
        <f>COUNTIF($W$5:$W$46,"ON GOING")</f>
        <v>17</v>
      </c>
      <c r="B48" s="171" t="s">
        <v>164</v>
      </c>
      <c r="C48" s="153"/>
      <c r="D48" s="153"/>
      <c r="E48" s="153"/>
      <c r="F48" s="153"/>
      <c r="G48" s="153"/>
      <c r="H48" s="153"/>
      <c r="I48" s="153"/>
      <c r="J48" s="70"/>
      <c r="K48" s="70"/>
      <c r="L48" s="70"/>
      <c r="M48" s="69"/>
      <c r="N48" s="71">
        <f t="shared" ref="N48:V48" si="14">SUMIF($W$5:$W$46,"ON GOING",N5:N46)</f>
        <v>6612</v>
      </c>
      <c r="O48" s="71">
        <f t="shared" si="14"/>
        <v>19836</v>
      </c>
      <c r="P48" s="71">
        <f t="shared" si="14"/>
        <v>2975.4</v>
      </c>
      <c r="Q48" s="72">
        <f t="shared" si="14"/>
        <v>22811.399999999998</v>
      </c>
      <c r="R48" s="73">
        <f t="shared" si="14"/>
        <v>874767.6</v>
      </c>
      <c r="S48" s="71">
        <f t="shared" si="14"/>
        <v>54</v>
      </c>
      <c r="T48" s="72">
        <f t="shared" si="14"/>
        <v>84</v>
      </c>
      <c r="U48" s="72">
        <f t="shared" si="14"/>
        <v>93</v>
      </c>
      <c r="V48" s="72">
        <f t="shared" si="14"/>
        <v>177</v>
      </c>
      <c r="W48" s="71"/>
      <c r="X48" s="71">
        <f>SUMIF($W$5:$W$46,"ON GOING",X5:X46)</f>
        <v>10</v>
      </c>
      <c r="Y48" s="71">
        <f>SUMIF($W$5:$W$46,"ON GOING",Y5:Y46)</f>
        <v>10</v>
      </c>
      <c r="Z48" s="74"/>
      <c r="AA48" s="74"/>
      <c r="AB48" s="75"/>
      <c r="AC48" s="75"/>
      <c r="AD48" s="76"/>
      <c r="AE48" s="76"/>
      <c r="AF48" s="76"/>
      <c r="AG48" s="76"/>
      <c r="AH48" s="76"/>
    </row>
    <row r="49" spans="1:34" ht="24.75" customHeight="1" x14ac:dyDescent="0.15">
      <c r="A49" s="164" t="s">
        <v>165</v>
      </c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6"/>
      <c r="AE49" s="167" t="s">
        <v>165</v>
      </c>
      <c r="AF49" s="153"/>
      <c r="AG49" s="153"/>
      <c r="AH49" s="155"/>
    </row>
    <row r="50" spans="1:34" ht="24.75" customHeight="1" x14ac:dyDescent="0.15">
      <c r="A50" s="4">
        <v>1</v>
      </c>
      <c r="B50" s="34" t="s">
        <v>35</v>
      </c>
      <c r="C50" s="77" t="s">
        <v>166</v>
      </c>
      <c r="D50" s="78"/>
      <c r="E50" s="79" t="s">
        <v>167</v>
      </c>
      <c r="F50" s="9"/>
      <c r="G50" s="10" t="s">
        <v>168</v>
      </c>
      <c r="H50" s="11" t="s">
        <v>169</v>
      </c>
      <c r="I50" s="12" t="s">
        <v>84</v>
      </c>
      <c r="J50" s="7" t="s">
        <v>82</v>
      </c>
      <c r="K50" s="13" t="s">
        <v>83</v>
      </c>
      <c r="L50" s="14" t="s">
        <v>84</v>
      </c>
      <c r="M50" s="15">
        <v>21</v>
      </c>
      <c r="N50" s="16">
        <v>300</v>
      </c>
      <c r="O50" s="17">
        <f t="shared" ref="O50:O88" si="15">N50*3</f>
        <v>900</v>
      </c>
      <c r="P50" s="18">
        <f t="shared" ref="P50:P55" si="16">O50*15%</f>
        <v>135</v>
      </c>
      <c r="Q50" s="19">
        <f t="shared" ref="Q50:Q88" si="17">SUM(O50:P50)</f>
        <v>1035</v>
      </c>
      <c r="R50" s="80">
        <f>(O50*7*6)+(P50*7*2)</f>
        <v>39690</v>
      </c>
      <c r="S50" s="21">
        <v>4</v>
      </c>
      <c r="T50" s="22">
        <v>7</v>
      </c>
      <c r="U50" s="22">
        <v>2</v>
      </c>
      <c r="V50" s="22">
        <f t="shared" ref="V50:V88" si="18">SUM(T50:U50)</f>
        <v>9</v>
      </c>
      <c r="W50" s="24" t="s">
        <v>42</v>
      </c>
      <c r="X50" s="24">
        <v>4</v>
      </c>
      <c r="Y50" s="24">
        <f>4*3</f>
        <v>12</v>
      </c>
      <c r="Z50" s="25" t="s">
        <v>170</v>
      </c>
      <c r="AA50" s="26" t="s">
        <v>86</v>
      </c>
      <c r="AB50" s="27"/>
      <c r="AC50" s="27" t="s">
        <v>87</v>
      </c>
      <c r="AD50" s="28"/>
      <c r="AE50" s="42" t="s">
        <v>171</v>
      </c>
      <c r="AF50" s="81" t="s">
        <v>172</v>
      </c>
      <c r="AG50" s="38" t="s">
        <v>49</v>
      </c>
      <c r="AH50" s="38" t="s">
        <v>49</v>
      </c>
    </row>
    <row r="51" spans="1:34" ht="24.75" customHeight="1" x14ac:dyDescent="0.15">
      <c r="A51" s="4">
        <v>2</v>
      </c>
      <c r="B51" s="34" t="s">
        <v>35</v>
      </c>
      <c r="C51" s="77" t="s">
        <v>173</v>
      </c>
      <c r="D51" s="78"/>
      <c r="E51" s="79" t="s">
        <v>174</v>
      </c>
      <c r="F51" s="9"/>
      <c r="G51" s="10" t="s">
        <v>168</v>
      </c>
      <c r="H51" s="11" t="s">
        <v>169</v>
      </c>
      <c r="I51" s="12" t="s">
        <v>84</v>
      </c>
      <c r="J51" s="7" t="s">
        <v>82</v>
      </c>
      <c r="K51" s="13" t="s">
        <v>83</v>
      </c>
      <c r="L51" s="14" t="s">
        <v>84</v>
      </c>
      <c r="M51" s="15">
        <v>21</v>
      </c>
      <c r="N51" s="16">
        <v>300</v>
      </c>
      <c r="O51" s="17">
        <f t="shared" si="15"/>
        <v>900</v>
      </c>
      <c r="P51" s="18">
        <f t="shared" si="16"/>
        <v>135</v>
      </c>
      <c r="Q51" s="19">
        <f t="shared" si="17"/>
        <v>1035</v>
      </c>
      <c r="R51" s="80">
        <f>(O51*7*6)+(P51*7*2)</f>
        <v>39690</v>
      </c>
      <c r="S51" s="21">
        <v>5</v>
      </c>
      <c r="T51" s="22">
        <v>7</v>
      </c>
      <c r="U51" s="22">
        <v>2</v>
      </c>
      <c r="V51" s="22">
        <f t="shared" si="18"/>
        <v>9</v>
      </c>
      <c r="W51" s="24" t="s">
        <v>42</v>
      </c>
      <c r="X51" s="24">
        <v>4</v>
      </c>
      <c r="Y51" s="24">
        <f>4*3</f>
        <v>12</v>
      </c>
      <c r="Z51" s="25" t="s">
        <v>170</v>
      </c>
      <c r="AA51" s="26" t="s">
        <v>86</v>
      </c>
      <c r="AB51" s="27"/>
      <c r="AC51" s="27" t="s">
        <v>87</v>
      </c>
      <c r="AD51" s="28"/>
      <c r="AE51" s="42" t="s">
        <v>171</v>
      </c>
      <c r="AF51" s="81" t="s">
        <v>172</v>
      </c>
      <c r="AG51" s="38" t="s">
        <v>49</v>
      </c>
      <c r="AH51" s="38" t="s">
        <v>49</v>
      </c>
    </row>
    <row r="52" spans="1:34" ht="24.75" customHeight="1" x14ac:dyDescent="0.15">
      <c r="A52" s="4">
        <v>3</v>
      </c>
      <c r="B52" s="34" t="s">
        <v>35</v>
      </c>
      <c r="C52" s="77" t="s">
        <v>175</v>
      </c>
      <c r="D52" s="78"/>
      <c r="E52" s="79" t="s">
        <v>176</v>
      </c>
      <c r="F52" s="9"/>
      <c r="G52" s="10" t="s">
        <v>168</v>
      </c>
      <c r="H52" s="11" t="s">
        <v>169</v>
      </c>
      <c r="I52" s="12" t="s">
        <v>84</v>
      </c>
      <c r="J52" s="7" t="s">
        <v>82</v>
      </c>
      <c r="K52" s="13" t="s">
        <v>83</v>
      </c>
      <c r="L52" s="14" t="s">
        <v>84</v>
      </c>
      <c r="M52" s="15">
        <v>21</v>
      </c>
      <c r="N52" s="16">
        <v>300</v>
      </c>
      <c r="O52" s="17">
        <f t="shared" si="15"/>
        <v>900</v>
      </c>
      <c r="P52" s="18">
        <f t="shared" si="16"/>
        <v>135</v>
      </c>
      <c r="Q52" s="19">
        <f t="shared" si="17"/>
        <v>1035</v>
      </c>
      <c r="R52" s="80">
        <f>(O52*7*6)+(P52*7*2)</f>
        <v>39690</v>
      </c>
      <c r="S52" s="21">
        <v>5</v>
      </c>
      <c r="T52" s="22">
        <v>9</v>
      </c>
      <c r="U52" s="22">
        <v>3</v>
      </c>
      <c r="V52" s="22">
        <f t="shared" si="18"/>
        <v>12</v>
      </c>
      <c r="W52" s="24" t="s">
        <v>42</v>
      </c>
      <c r="X52" s="24">
        <v>5</v>
      </c>
      <c r="Y52" s="24">
        <f>5*3</f>
        <v>15</v>
      </c>
      <c r="Z52" s="25" t="s">
        <v>170</v>
      </c>
      <c r="AA52" s="26" t="s">
        <v>86</v>
      </c>
      <c r="AB52" s="27"/>
      <c r="AC52" s="27" t="s">
        <v>87</v>
      </c>
      <c r="AD52" s="28"/>
      <c r="AE52" s="42" t="s">
        <v>171</v>
      </c>
      <c r="AF52" s="81" t="s">
        <v>172</v>
      </c>
      <c r="AG52" s="38" t="s">
        <v>49</v>
      </c>
      <c r="AH52" s="38" t="s">
        <v>49</v>
      </c>
    </row>
    <row r="53" spans="1:34" ht="24.75" customHeight="1" x14ac:dyDescent="0.15">
      <c r="A53" s="4">
        <v>4</v>
      </c>
      <c r="B53" s="34" t="s">
        <v>35</v>
      </c>
      <c r="C53" s="77" t="s">
        <v>177</v>
      </c>
      <c r="D53" s="78"/>
      <c r="E53" s="79" t="s">
        <v>178</v>
      </c>
      <c r="F53" s="9"/>
      <c r="G53" s="10" t="s">
        <v>168</v>
      </c>
      <c r="H53" s="11" t="s">
        <v>169</v>
      </c>
      <c r="I53" s="12" t="s">
        <v>84</v>
      </c>
      <c r="J53" s="7" t="s">
        <v>82</v>
      </c>
      <c r="K53" s="13" t="s">
        <v>83</v>
      </c>
      <c r="L53" s="14" t="s">
        <v>84</v>
      </c>
      <c r="M53" s="15">
        <v>21</v>
      </c>
      <c r="N53" s="16">
        <v>300</v>
      </c>
      <c r="O53" s="17">
        <f t="shared" si="15"/>
        <v>900</v>
      </c>
      <c r="P53" s="18">
        <f t="shared" si="16"/>
        <v>135</v>
      </c>
      <c r="Q53" s="19">
        <f t="shared" si="17"/>
        <v>1035</v>
      </c>
      <c r="R53" s="80">
        <f>(O53*7*6)+(P53*7*2)</f>
        <v>39690</v>
      </c>
      <c r="S53" s="21">
        <v>4</v>
      </c>
      <c r="T53" s="22">
        <v>7</v>
      </c>
      <c r="U53" s="22">
        <v>2</v>
      </c>
      <c r="V53" s="22">
        <f t="shared" si="18"/>
        <v>9</v>
      </c>
      <c r="W53" s="24" t="s">
        <v>42</v>
      </c>
      <c r="X53" s="24">
        <v>4</v>
      </c>
      <c r="Y53" s="24">
        <f>4*3</f>
        <v>12</v>
      </c>
      <c r="Z53" s="25" t="s">
        <v>170</v>
      </c>
      <c r="AA53" s="26" t="s">
        <v>86</v>
      </c>
      <c r="AB53" s="27"/>
      <c r="AC53" s="27" t="s">
        <v>87</v>
      </c>
      <c r="AD53" s="28"/>
      <c r="AE53" s="42" t="s">
        <v>171</v>
      </c>
      <c r="AF53" s="81" t="s">
        <v>172</v>
      </c>
      <c r="AG53" s="38" t="s">
        <v>49</v>
      </c>
      <c r="AH53" s="38" t="s">
        <v>49</v>
      </c>
    </row>
    <row r="54" spans="1:34" ht="24.5" customHeight="1" x14ac:dyDescent="0.15">
      <c r="A54" s="4">
        <v>5</v>
      </c>
      <c r="B54" s="34" t="s">
        <v>35</v>
      </c>
      <c r="C54" s="77" t="s">
        <v>179</v>
      </c>
      <c r="D54" s="78"/>
      <c r="E54" s="79" t="s">
        <v>180</v>
      </c>
      <c r="F54" s="9"/>
      <c r="G54" s="10" t="s">
        <v>168</v>
      </c>
      <c r="H54" s="11" t="s">
        <v>169</v>
      </c>
      <c r="I54" s="12" t="s">
        <v>84</v>
      </c>
      <c r="J54" s="7" t="s">
        <v>104</v>
      </c>
      <c r="K54" s="13" t="s">
        <v>83</v>
      </c>
      <c r="L54" s="14" t="s">
        <v>84</v>
      </c>
      <c r="M54" s="15">
        <v>21</v>
      </c>
      <c r="N54" s="16">
        <v>300</v>
      </c>
      <c r="O54" s="17">
        <f t="shared" si="15"/>
        <v>900</v>
      </c>
      <c r="P54" s="18">
        <f t="shared" si="16"/>
        <v>135</v>
      </c>
      <c r="Q54" s="19">
        <f t="shared" si="17"/>
        <v>1035</v>
      </c>
      <c r="R54" s="80">
        <f>(O54*7*6)+(P54*7*2)</f>
        <v>39690</v>
      </c>
      <c r="S54" s="21">
        <v>4</v>
      </c>
      <c r="T54" s="22">
        <v>7</v>
      </c>
      <c r="U54" s="22">
        <v>2</v>
      </c>
      <c r="V54" s="22">
        <f t="shared" si="18"/>
        <v>9</v>
      </c>
      <c r="W54" s="24" t="s">
        <v>42</v>
      </c>
      <c r="X54" s="24">
        <v>4</v>
      </c>
      <c r="Y54" s="24">
        <f>4*3</f>
        <v>12</v>
      </c>
      <c r="Z54" s="25" t="s">
        <v>170</v>
      </c>
      <c r="AA54" s="26" t="s">
        <v>86</v>
      </c>
      <c r="AB54" s="27"/>
      <c r="AC54" s="27" t="s">
        <v>87</v>
      </c>
      <c r="AD54" s="28"/>
      <c r="AE54" s="42" t="s">
        <v>171</v>
      </c>
      <c r="AF54" s="81" t="s">
        <v>172</v>
      </c>
      <c r="AG54" s="38" t="s">
        <v>49</v>
      </c>
      <c r="AH54" s="38" t="s">
        <v>49</v>
      </c>
    </row>
    <row r="55" spans="1:34" ht="24.5" customHeight="1" x14ac:dyDescent="0.15">
      <c r="A55" s="4">
        <v>6</v>
      </c>
      <c r="B55" s="34" t="s">
        <v>35</v>
      </c>
      <c r="C55" s="77" t="s">
        <v>181</v>
      </c>
      <c r="D55" s="78"/>
      <c r="E55" s="79" t="s">
        <v>182</v>
      </c>
      <c r="F55" s="9"/>
      <c r="G55" s="10" t="s">
        <v>183</v>
      </c>
      <c r="H55" s="11" t="s">
        <v>184</v>
      </c>
      <c r="I55" s="12" t="s">
        <v>84</v>
      </c>
      <c r="J55" s="7" t="s">
        <v>41</v>
      </c>
      <c r="K55" s="13">
        <v>1</v>
      </c>
      <c r="L55" s="14" t="s">
        <v>40</v>
      </c>
      <c r="M55" s="15">
        <v>22</v>
      </c>
      <c r="N55" s="16">
        <v>280</v>
      </c>
      <c r="O55" s="17">
        <f t="shared" si="15"/>
        <v>840</v>
      </c>
      <c r="P55" s="18">
        <f t="shared" si="16"/>
        <v>126</v>
      </c>
      <c r="Q55" s="19">
        <f t="shared" si="17"/>
        <v>966</v>
      </c>
      <c r="R55" s="80">
        <f>(O55*6*7)+(P55*2*7)</f>
        <v>37044</v>
      </c>
      <c r="S55" s="21">
        <v>5</v>
      </c>
      <c r="T55" s="22">
        <v>8</v>
      </c>
      <c r="U55" s="22">
        <v>5</v>
      </c>
      <c r="V55" s="22">
        <f t="shared" si="18"/>
        <v>13</v>
      </c>
      <c r="W55" s="24" t="s">
        <v>42</v>
      </c>
      <c r="X55" s="24">
        <v>4</v>
      </c>
      <c r="Y55" s="24">
        <v>8</v>
      </c>
      <c r="Z55" s="25" t="s">
        <v>185</v>
      </c>
      <c r="AA55" s="26" t="s">
        <v>44</v>
      </c>
      <c r="AB55" s="27"/>
      <c r="AC55" s="27" t="s">
        <v>186</v>
      </c>
      <c r="AD55" s="28" t="s">
        <v>187</v>
      </c>
      <c r="AE55" s="29" t="s">
        <v>188</v>
      </c>
      <c r="AF55" s="81" t="s">
        <v>189</v>
      </c>
      <c r="AG55" s="31" t="s">
        <v>48</v>
      </c>
      <c r="AH55" s="31" t="s">
        <v>48</v>
      </c>
    </row>
    <row r="56" spans="1:34" ht="24.75" customHeight="1" x14ac:dyDescent="0.15">
      <c r="A56" s="4">
        <v>7</v>
      </c>
      <c r="B56" s="34" t="s">
        <v>35</v>
      </c>
      <c r="C56" s="77" t="s">
        <v>190</v>
      </c>
      <c r="D56" s="78"/>
      <c r="E56" s="79" t="s">
        <v>191</v>
      </c>
      <c r="F56" s="9"/>
      <c r="G56" s="10" t="s">
        <v>192</v>
      </c>
      <c r="H56" s="11" t="s">
        <v>193</v>
      </c>
      <c r="I56" s="12" t="s">
        <v>84</v>
      </c>
      <c r="J56" s="7" t="s">
        <v>41</v>
      </c>
      <c r="K56" s="13">
        <v>1</v>
      </c>
      <c r="L56" s="14" t="s">
        <v>40</v>
      </c>
      <c r="M56" s="15">
        <v>32</v>
      </c>
      <c r="N56" s="16">
        <v>270</v>
      </c>
      <c r="O56" s="17">
        <f t="shared" si="15"/>
        <v>810</v>
      </c>
      <c r="P56" s="18">
        <f t="shared" ref="P56:P117" si="19">O56*0.15</f>
        <v>121.5</v>
      </c>
      <c r="Q56" s="19">
        <f t="shared" si="17"/>
        <v>931.5</v>
      </c>
      <c r="R56" s="80">
        <f t="shared" ref="R56:R117" si="20">(O56*7*6)+(P56*7*2)</f>
        <v>35721</v>
      </c>
      <c r="S56" s="21">
        <v>4</v>
      </c>
      <c r="T56" s="22">
        <v>6</v>
      </c>
      <c r="U56" s="22">
        <v>9</v>
      </c>
      <c r="V56" s="22">
        <f t="shared" si="18"/>
        <v>15</v>
      </c>
      <c r="W56" s="24" t="s">
        <v>42</v>
      </c>
      <c r="X56" s="24">
        <v>4</v>
      </c>
      <c r="Y56" s="24">
        <v>12</v>
      </c>
      <c r="Z56" s="25" t="s">
        <v>194</v>
      </c>
      <c r="AA56" s="26" t="s">
        <v>195</v>
      </c>
      <c r="AB56" s="27"/>
      <c r="AC56" s="27" t="s">
        <v>196</v>
      </c>
      <c r="AD56" s="28" t="s">
        <v>197</v>
      </c>
      <c r="AE56" s="42" t="s">
        <v>198</v>
      </c>
      <c r="AF56" s="81" t="s">
        <v>189</v>
      </c>
      <c r="AG56" s="38" t="s">
        <v>48</v>
      </c>
      <c r="AH56" s="38" t="s">
        <v>48</v>
      </c>
    </row>
    <row r="57" spans="1:34" ht="24.75" customHeight="1" x14ac:dyDescent="0.15">
      <c r="A57" s="4">
        <v>8</v>
      </c>
      <c r="B57" s="34" t="s">
        <v>35</v>
      </c>
      <c r="C57" s="77" t="s">
        <v>190</v>
      </c>
      <c r="D57" s="78"/>
      <c r="E57" s="79" t="s">
        <v>199</v>
      </c>
      <c r="F57" s="9"/>
      <c r="G57" s="10" t="s">
        <v>192</v>
      </c>
      <c r="H57" s="11" t="s">
        <v>193</v>
      </c>
      <c r="I57" s="12" t="s">
        <v>84</v>
      </c>
      <c r="J57" s="7" t="s">
        <v>41</v>
      </c>
      <c r="K57" s="13">
        <v>1</v>
      </c>
      <c r="L57" s="14" t="s">
        <v>40</v>
      </c>
      <c r="M57" s="15">
        <v>32</v>
      </c>
      <c r="N57" s="16">
        <v>270</v>
      </c>
      <c r="O57" s="17">
        <f t="shared" si="15"/>
        <v>810</v>
      </c>
      <c r="P57" s="18">
        <f t="shared" si="19"/>
        <v>121.5</v>
      </c>
      <c r="Q57" s="19">
        <f t="shared" si="17"/>
        <v>931.5</v>
      </c>
      <c r="R57" s="80">
        <f t="shared" si="20"/>
        <v>35721</v>
      </c>
      <c r="S57" s="21">
        <v>4</v>
      </c>
      <c r="T57" s="22">
        <v>6</v>
      </c>
      <c r="U57" s="22">
        <v>9</v>
      </c>
      <c r="V57" s="22">
        <f t="shared" si="18"/>
        <v>15</v>
      </c>
      <c r="W57" s="24" t="s">
        <v>42</v>
      </c>
      <c r="X57" s="24">
        <v>4</v>
      </c>
      <c r="Y57" s="24">
        <v>12</v>
      </c>
      <c r="Z57" s="25" t="s">
        <v>194</v>
      </c>
      <c r="AA57" s="26" t="s">
        <v>195</v>
      </c>
      <c r="AB57" s="27"/>
      <c r="AC57" s="27" t="s">
        <v>196</v>
      </c>
      <c r="AD57" s="28" t="s">
        <v>197</v>
      </c>
      <c r="AE57" s="42" t="s">
        <v>198</v>
      </c>
      <c r="AF57" s="81" t="s">
        <v>189</v>
      </c>
      <c r="AG57" s="38" t="s">
        <v>48</v>
      </c>
      <c r="AH57" s="38" t="s">
        <v>48</v>
      </c>
    </row>
    <row r="58" spans="1:34" ht="24.75" customHeight="1" x14ac:dyDescent="0.15">
      <c r="A58" s="4">
        <v>9</v>
      </c>
      <c r="B58" s="5" t="s">
        <v>35</v>
      </c>
      <c r="C58" s="82" t="s">
        <v>200</v>
      </c>
      <c r="D58" s="32"/>
      <c r="E58" s="33" t="s">
        <v>201</v>
      </c>
      <c r="F58" s="9"/>
      <c r="G58" s="10" t="s">
        <v>202</v>
      </c>
      <c r="H58" s="11" t="s">
        <v>203</v>
      </c>
      <c r="I58" s="12" t="s">
        <v>84</v>
      </c>
      <c r="J58" s="7" t="s">
        <v>41</v>
      </c>
      <c r="K58" s="13">
        <v>1</v>
      </c>
      <c r="L58" s="14" t="s">
        <v>40</v>
      </c>
      <c r="M58" s="15">
        <v>24</v>
      </c>
      <c r="N58" s="16">
        <v>175</v>
      </c>
      <c r="O58" s="17">
        <f t="shared" si="15"/>
        <v>525</v>
      </c>
      <c r="P58" s="18">
        <f t="shared" si="19"/>
        <v>78.75</v>
      </c>
      <c r="Q58" s="19">
        <f t="shared" si="17"/>
        <v>603.75</v>
      </c>
      <c r="R58" s="80">
        <f t="shared" si="20"/>
        <v>23152.5</v>
      </c>
      <c r="S58" s="21">
        <v>4</v>
      </c>
      <c r="T58" s="22">
        <v>6</v>
      </c>
      <c r="U58" s="22">
        <v>16</v>
      </c>
      <c r="V58" s="22">
        <f t="shared" si="18"/>
        <v>22</v>
      </c>
      <c r="W58" s="24" t="s">
        <v>42</v>
      </c>
      <c r="X58" s="24">
        <v>0</v>
      </c>
      <c r="Y58" s="24">
        <v>0</v>
      </c>
      <c r="Z58" s="25" t="s">
        <v>204</v>
      </c>
      <c r="AA58" s="26" t="s">
        <v>44</v>
      </c>
      <c r="AB58" s="27"/>
      <c r="AC58" s="27" t="s">
        <v>205</v>
      </c>
      <c r="AD58" s="28" t="s">
        <v>206</v>
      </c>
      <c r="AE58" s="42" t="s">
        <v>198</v>
      </c>
      <c r="AF58" s="81" t="s">
        <v>189</v>
      </c>
      <c r="AG58" s="38" t="s">
        <v>48</v>
      </c>
      <c r="AH58" s="38" t="s">
        <v>49</v>
      </c>
    </row>
    <row r="59" spans="1:34" ht="24.75" customHeight="1" x14ac:dyDescent="0.15">
      <c r="A59" s="4">
        <v>10</v>
      </c>
      <c r="B59" s="5" t="s">
        <v>77</v>
      </c>
      <c r="C59" s="82" t="s">
        <v>207</v>
      </c>
      <c r="D59" s="32"/>
      <c r="E59" s="33" t="s">
        <v>208</v>
      </c>
      <c r="F59" s="9"/>
      <c r="G59" s="10" t="s">
        <v>202</v>
      </c>
      <c r="H59" s="11" t="s">
        <v>203</v>
      </c>
      <c r="I59" s="12" t="s">
        <v>84</v>
      </c>
      <c r="J59" s="7"/>
      <c r="K59" s="13"/>
      <c r="L59" s="14"/>
      <c r="M59" s="15">
        <v>3</v>
      </c>
      <c r="N59" s="16"/>
      <c r="O59" s="17">
        <f t="shared" si="15"/>
        <v>0</v>
      </c>
      <c r="P59" s="18">
        <f t="shared" si="19"/>
        <v>0</v>
      </c>
      <c r="Q59" s="19">
        <f t="shared" si="17"/>
        <v>0</v>
      </c>
      <c r="R59" s="80">
        <f t="shared" si="20"/>
        <v>0</v>
      </c>
      <c r="S59" s="21">
        <v>1</v>
      </c>
      <c r="T59" s="22">
        <v>2</v>
      </c>
      <c r="U59" s="22">
        <v>1</v>
      </c>
      <c r="V59" s="22">
        <f t="shared" si="18"/>
        <v>3</v>
      </c>
      <c r="W59" s="24" t="s">
        <v>42</v>
      </c>
      <c r="X59" s="24">
        <v>0</v>
      </c>
      <c r="Y59" s="24">
        <v>0</v>
      </c>
      <c r="Z59" s="25" t="s">
        <v>209</v>
      </c>
      <c r="AA59" s="26" t="s">
        <v>44</v>
      </c>
      <c r="AB59" s="27"/>
      <c r="AC59" s="27" t="s">
        <v>205</v>
      </c>
      <c r="AD59" s="28" t="s">
        <v>210</v>
      </c>
      <c r="AE59" s="42" t="s">
        <v>198</v>
      </c>
      <c r="AF59" s="81" t="s">
        <v>189</v>
      </c>
      <c r="AG59" s="38" t="s">
        <v>49</v>
      </c>
      <c r="AH59" s="38" t="s">
        <v>48</v>
      </c>
    </row>
    <row r="60" spans="1:34" ht="24.75" customHeight="1" x14ac:dyDescent="0.15">
      <c r="A60" s="4">
        <v>11</v>
      </c>
      <c r="B60" s="5" t="s">
        <v>35</v>
      </c>
      <c r="C60" s="82" t="s">
        <v>211</v>
      </c>
      <c r="D60" s="32"/>
      <c r="E60" s="33" t="s">
        <v>212</v>
      </c>
      <c r="F60" s="9"/>
      <c r="G60" s="10" t="s">
        <v>213</v>
      </c>
      <c r="H60" s="11" t="s">
        <v>214</v>
      </c>
      <c r="I60" s="12" t="s">
        <v>84</v>
      </c>
      <c r="J60" s="7"/>
      <c r="K60" s="13"/>
      <c r="L60" s="14"/>
      <c r="M60" s="15">
        <v>45</v>
      </c>
      <c r="N60" s="16">
        <v>540</v>
      </c>
      <c r="O60" s="17">
        <f t="shared" si="15"/>
        <v>1620</v>
      </c>
      <c r="P60" s="18">
        <f t="shared" si="19"/>
        <v>243</v>
      </c>
      <c r="Q60" s="19">
        <f t="shared" si="17"/>
        <v>1863</v>
      </c>
      <c r="R60" s="80">
        <f t="shared" si="20"/>
        <v>71442</v>
      </c>
      <c r="S60" s="21">
        <v>3</v>
      </c>
      <c r="T60" s="22">
        <v>6</v>
      </c>
      <c r="U60" s="22">
        <v>0</v>
      </c>
      <c r="V60" s="22">
        <f t="shared" si="18"/>
        <v>6</v>
      </c>
      <c r="W60" s="24" t="s">
        <v>42</v>
      </c>
      <c r="X60" s="24">
        <v>0</v>
      </c>
      <c r="Y60" s="24">
        <v>0</v>
      </c>
      <c r="Z60" s="25" t="s">
        <v>194</v>
      </c>
      <c r="AA60" s="26" t="s">
        <v>195</v>
      </c>
      <c r="AB60" s="27"/>
      <c r="AC60" s="27" t="s">
        <v>215</v>
      </c>
      <c r="AD60" s="28" t="s">
        <v>216</v>
      </c>
      <c r="AE60" s="29" t="s">
        <v>188</v>
      </c>
      <c r="AF60" s="30" t="s">
        <v>172</v>
      </c>
      <c r="AG60" s="31" t="s">
        <v>48</v>
      </c>
      <c r="AH60" s="31" t="s">
        <v>48</v>
      </c>
    </row>
    <row r="61" spans="1:34" ht="24.75" customHeight="1" x14ac:dyDescent="0.15">
      <c r="A61" s="4">
        <v>12</v>
      </c>
      <c r="B61" s="5" t="s">
        <v>35</v>
      </c>
      <c r="C61" s="82" t="s">
        <v>217</v>
      </c>
      <c r="D61" s="32"/>
      <c r="E61" s="33" t="s">
        <v>218</v>
      </c>
      <c r="F61" s="9"/>
      <c r="G61" s="10" t="s">
        <v>213</v>
      </c>
      <c r="H61" s="11" t="s">
        <v>214</v>
      </c>
      <c r="I61" s="12" t="s">
        <v>84</v>
      </c>
      <c r="J61" s="7"/>
      <c r="K61" s="13"/>
      <c r="L61" s="14"/>
      <c r="M61" s="15">
        <v>45</v>
      </c>
      <c r="N61" s="16">
        <v>540</v>
      </c>
      <c r="O61" s="17">
        <f t="shared" si="15"/>
        <v>1620</v>
      </c>
      <c r="P61" s="18">
        <f t="shared" si="19"/>
        <v>243</v>
      </c>
      <c r="Q61" s="19">
        <f t="shared" si="17"/>
        <v>1863</v>
      </c>
      <c r="R61" s="80">
        <f t="shared" si="20"/>
        <v>71442</v>
      </c>
      <c r="S61" s="21">
        <v>4</v>
      </c>
      <c r="T61" s="22">
        <v>8</v>
      </c>
      <c r="U61" s="22">
        <v>0</v>
      </c>
      <c r="V61" s="22">
        <f t="shared" si="18"/>
        <v>8</v>
      </c>
      <c r="W61" s="24" t="s">
        <v>42</v>
      </c>
      <c r="X61" s="24">
        <v>0</v>
      </c>
      <c r="Y61" s="24">
        <v>0</v>
      </c>
      <c r="Z61" s="25" t="s">
        <v>194</v>
      </c>
      <c r="AA61" s="26" t="s">
        <v>195</v>
      </c>
      <c r="AB61" s="27"/>
      <c r="AC61" s="27" t="s">
        <v>215</v>
      </c>
      <c r="AD61" s="28" t="s">
        <v>219</v>
      </c>
      <c r="AE61" s="29" t="s">
        <v>188</v>
      </c>
      <c r="AF61" s="30" t="s">
        <v>172</v>
      </c>
      <c r="AG61" s="31" t="s">
        <v>48</v>
      </c>
      <c r="AH61" s="31" t="s">
        <v>48</v>
      </c>
    </row>
    <row r="62" spans="1:34" ht="24.75" customHeight="1" x14ac:dyDescent="0.15">
      <c r="A62" s="4">
        <v>13</v>
      </c>
      <c r="B62" s="5" t="s">
        <v>35</v>
      </c>
      <c r="C62" s="82" t="str">
        <f>UPPER(SUBSTITUTE(E62, " ", ""))</f>
        <v>AQUABAYRESIDENCESSKY2</v>
      </c>
      <c r="D62" s="32"/>
      <c r="E62" s="33" t="s">
        <v>220</v>
      </c>
      <c r="F62" s="9"/>
      <c r="G62" s="10" t="s">
        <v>221</v>
      </c>
      <c r="H62" s="11" t="s">
        <v>222</v>
      </c>
      <c r="I62" s="12" t="s">
        <v>223</v>
      </c>
      <c r="J62" s="7"/>
      <c r="K62" s="13"/>
      <c r="L62" s="14"/>
      <c r="M62" s="15">
        <v>30</v>
      </c>
      <c r="N62" s="16">
        <v>400</v>
      </c>
      <c r="O62" s="17">
        <f t="shared" si="15"/>
        <v>1200</v>
      </c>
      <c r="P62" s="18">
        <f t="shared" si="19"/>
        <v>180</v>
      </c>
      <c r="Q62" s="19">
        <f t="shared" si="17"/>
        <v>1380</v>
      </c>
      <c r="R62" s="80">
        <f t="shared" si="20"/>
        <v>52920</v>
      </c>
      <c r="S62" s="21">
        <v>4</v>
      </c>
      <c r="T62" s="22">
        <v>6</v>
      </c>
      <c r="U62" s="22">
        <v>0</v>
      </c>
      <c r="V62" s="22">
        <f t="shared" si="18"/>
        <v>6</v>
      </c>
      <c r="W62" s="24" t="s">
        <v>42</v>
      </c>
      <c r="X62" s="24">
        <v>0</v>
      </c>
      <c r="Y62" s="24">
        <v>0</v>
      </c>
      <c r="Z62" s="25" t="s">
        <v>224</v>
      </c>
      <c r="AA62" s="26" t="s">
        <v>195</v>
      </c>
      <c r="AB62" s="27"/>
      <c r="AC62" s="27" t="s">
        <v>225</v>
      </c>
      <c r="AD62" s="28" t="s">
        <v>226</v>
      </c>
      <c r="AE62" s="42" t="s">
        <v>171</v>
      </c>
      <c r="AF62" s="81" t="s">
        <v>172</v>
      </c>
      <c r="AG62" s="38" t="s">
        <v>48</v>
      </c>
      <c r="AH62" s="38" t="s">
        <v>48</v>
      </c>
    </row>
    <row r="63" spans="1:34" ht="24.75" customHeight="1" x14ac:dyDescent="0.15">
      <c r="A63" s="4">
        <v>14</v>
      </c>
      <c r="B63" s="5" t="s">
        <v>35</v>
      </c>
      <c r="C63" s="82" t="str">
        <f>UPPER(SUBSTITUTE(E63, " ", ""))</f>
        <v>AQUABAYRESIDENCESSKY3</v>
      </c>
      <c r="D63" s="32"/>
      <c r="E63" s="33" t="s">
        <v>227</v>
      </c>
      <c r="F63" s="9"/>
      <c r="G63" s="10" t="s">
        <v>221</v>
      </c>
      <c r="H63" s="11" t="s">
        <v>222</v>
      </c>
      <c r="I63" s="12" t="s">
        <v>223</v>
      </c>
      <c r="J63" s="7"/>
      <c r="K63" s="13"/>
      <c r="L63" s="14"/>
      <c r="M63" s="15">
        <v>30</v>
      </c>
      <c r="N63" s="16">
        <v>400</v>
      </c>
      <c r="O63" s="17">
        <f t="shared" si="15"/>
        <v>1200</v>
      </c>
      <c r="P63" s="18">
        <f t="shared" si="19"/>
        <v>180</v>
      </c>
      <c r="Q63" s="19">
        <f t="shared" si="17"/>
        <v>1380</v>
      </c>
      <c r="R63" s="80">
        <f t="shared" si="20"/>
        <v>52920</v>
      </c>
      <c r="S63" s="21">
        <v>4</v>
      </c>
      <c r="T63" s="22">
        <v>6</v>
      </c>
      <c r="U63" s="22">
        <v>0</v>
      </c>
      <c r="V63" s="22">
        <f t="shared" si="18"/>
        <v>6</v>
      </c>
      <c r="W63" s="24" t="s">
        <v>42</v>
      </c>
      <c r="X63" s="24">
        <v>0</v>
      </c>
      <c r="Y63" s="24">
        <v>0</v>
      </c>
      <c r="Z63" s="25" t="s">
        <v>228</v>
      </c>
      <c r="AA63" s="26" t="s">
        <v>195</v>
      </c>
      <c r="AB63" s="27"/>
      <c r="AC63" s="27" t="s">
        <v>225</v>
      </c>
      <c r="AD63" s="28" t="s">
        <v>226</v>
      </c>
      <c r="AE63" s="42" t="s">
        <v>171</v>
      </c>
      <c r="AF63" s="81" t="s">
        <v>172</v>
      </c>
      <c r="AG63" s="38" t="s">
        <v>48</v>
      </c>
      <c r="AH63" s="38" t="s">
        <v>48</v>
      </c>
    </row>
    <row r="64" spans="1:34" ht="24.5" customHeight="1" x14ac:dyDescent="0.15">
      <c r="A64" s="4">
        <v>15</v>
      </c>
      <c r="B64" s="5" t="s">
        <v>35</v>
      </c>
      <c r="C64" s="82" t="s">
        <v>229</v>
      </c>
      <c r="D64" s="32"/>
      <c r="E64" s="33" t="s">
        <v>230</v>
      </c>
      <c r="F64" s="9"/>
      <c r="G64" s="10" t="s">
        <v>231</v>
      </c>
      <c r="H64" s="11" t="s">
        <v>222</v>
      </c>
      <c r="I64" s="12" t="s">
        <v>223</v>
      </c>
      <c r="J64" s="7"/>
      <c r="K64" s="13"/>
      <c r="L64" s="14"/>
      <c r="M64" s="15">
        <v>30</v>
      </c>
      <c r="N64" s="16">
        <v>380</v>
      </c>
      <c r="O64" s="17">
        <f t="shared" si="15"/>
        <v>1140</v>
      </c>
      <c r="P64" s="18">
        <f t="shared" si="19"/>
        <v>171</v>
      </c>
      <c r="Q64" s="19">
        <f t="shared" si="17"/>
        <v>1311</v>
      </c>
      <c r="R64" s="80">
        <f t="shared" si="20"/>
        <v>50274</v>
      </c>
      <c r="S64" s="21">
        <v>4</v>
      </c>
      <c r="T64" s="22">
        <v>8</v>
      </c>
      <c r="U64" s="22">
        <v>9</v>
      </c>
      <c r="V64" s="22">
        <f t="shared" si="18"/>
        <v>17</v>
      </c>
      <c r="W64" s="24" t="s">
        <v>42</v>
      </c>
      <c r="X64" s="24">
        <v>0</v>
      </c>
      <c r="Y64" s="24">
        <v>0</v>
      </c>
      <c r="Z64" s="25" t="s">
        <v>224</v>
      </c>
      <c r="AA64" s="26" t="s">
        <v>44</v>
      </c>
      <c r="AB64" s="27"/>
      <c r="AC64" s="27" t="s">
        <v>232</v>
      </c>
      <c r="AD64" s="28"/>
      <c r="AE64" s="42" t="s">
        <v>198</v>
      </c>
      <c r="AF64" s="81" t="s">
        <v>189</v>
      </c>
      <c r="AG64" s="38" t="s">
        <v>48</v>
      </c>
      <c r="AH64" s="38" t="s">
        <v>48</v>
      </c>
    </row>
    <row r="65" spans="1:34" ht="24.75" customHeight="1" x14ac:dyDescent="0.15">
      <c r="A65" s="4">
        <v>16</v>
      </c>
      <c r="B65" s="5" t="s">
        <v>35</v>
      </c>
      <c r="C65" s="82" t="s">
        <v>233</v>
      </c>
      <c r="D65" s="32"/>
      <c r="E65" s="33" t="s">
        <v>234</v>
      </c>
      <c r="F65" s="9"/>
      <c r="G65" s="10" t="s">
        <v>231</v>
      </c>
      <c r="H65" s="11" t="s">
        <v>222</v>
      </c>
      <c r="I65" s="12" t="s">
        <v>223</v>
      </c>
      <c r="J65" s="7"/>
      <c r="K65" s="13"/>
      <c r="L65" s="14"/>
      <c r="M65" s="15">
        <v>38</v>
      </c>
      <c r="N65" s="16">
        <v>388</v>
      </c>
      <c r="O65" s="17">
        <f t="shared" si="15"/>
        <v>1164</v>
      </c>
      <c r="P65" s="18">
        <f t="shared" si="19"/>
        <v>174.6</v>
      </c>
      <c r="Q65" s="19">
        <f t="shared" si="17"/>
        <v>1338.6</v>
      </c>
      <c r="R65" s="80">
        <f t="shared" si="20"/>
        <v>51332.4</v>
      </c>
      <c r="S65" s="21">
        <v>5</v>
      </c>
      <c r="T65" s="22">
        <v>10</v>
      </c>
      <c r="U65" s="22">
        <v>9</v>
      </c>
      <c r="V65" s="22">
        <f t="shared" si="18"/>
        <v>19</v>
      </c>
      <c r="W65" s="24" t="s">
        <v>42</v>
      </c>
      <c r="X65" s="24">
        <v>0</v>
      </c>
      <c r="Y65" s="24">
        <v>0</v>
      </c>
      <c r="Z65" s="25" t="s">
        <v>228</v>
      </c>
      <c r="AA65" s="26" t="s">
        <v>44</v>
      </c>
      <c r="AB65" s="27"/>
      <c r="AC65" s="27" t="s">
        <v>232</v>
      </c>
      <c r="AD65" s="28"/>
      <c r="AE65" s="42" t="s">
        <v>198</v>
      </c>
      <c r="AF65" s="81" t="s">
        <v>189</v>
      </c>
      <c r="AG65" s="38" t="s">
        <v>48</v>
      </c>
      <c r="AH65" s="38" t="s">
        <v>48</v>
      </c>
    </row>
    <row r="66" spans="1:34" ht="24.75" customHeight="1" x14ac:dyDescent="0.15">
      <c r="A66" s="4">
        <v>17</v>
      </c>
      <c r="B66" s="5" t="s">
        <v>35</v>
      </c>
      <c r="C66" s="82" t="s">
        <v>235</v>
      </c>
      <c r="D66" s="32"/>
      <c r="E66" s="33" t="s">
        <v>236</v>
      </c>
      <c r="F66" s="9"/>
      <c r="G66" s="10" t="s">
        <v>231</v>
      </c>
      <c r="H66" s="11" t="s">
        <v>222</v>
      </c>
      <c r="I66" s="12" t="s">
        <v>223</v>
      </c>
      <c r="J66" s="7"/>
      <c r="K66" s="13"/>
      <c r="L66" s="14"/>
      <c r="M66" s="15">
        <v>41</v>
      </c>
      <c r="N66" s="16">
        <v>600</v>
      </c>
      <c r="O66" s="17">
        <f t="shared" si="15"/>
        <v>1800</v>
      </c>
      <c r="P66" s="18">
        <f t="shared" si="19"/>
        <v>270</v>
      </c>
      <c r="Q66" s="19">
        <f t="shared" si="17"/>
        <v>2070</v>
      </c>
      <c r="R66" s="80">
        <f t="shared" si="20"/>
        <v>79380</v>
      </c>
      <c r="S66" s="21">
        <v>6</v>
      </c>
      <c r="T66" s="22">
        <v>12</v>
      </c>
      <c r="U66" s="22">
        <v>12</v>
      </c>
      <c r="V66" s="22">
        <f t="shared" si="18"/>
        <v>24</v>
      </c>
      <c r="W66" s="24" t="s">
        <v>42</v>
      </c>
      <c r="X66" s="24">
        <v>0</v>
      </c>
      <c r="Y66" s="24">
        <v>0</v>
      </c>
      <c r="Z66" s="25" t="s">
        <v>224</v>
      </c>
      <c r="AA66" s="26" t="s">
        <v>44</v>
      </c>
      <c r="AB66" s="27"/>
      <c r="AC66" s="27" t="s">
        <v>232</v>
      </c>
      <c r="AD66" s="28"/>
      <c r="AE66" s="42" t="s">
        <v>198</v>
      </c>
      <c r="AF66" s="81" t="s">
        <v>189</v>
      </c>
      <c r="AG66" s="38" t="s">
        <v>48</v>
      </c>
      <c r="AH66" s="38" t="s">
        <v>48</v>
      </c>
    </row>
    <row r="67" spans="1:34" ht="24.5" customHeight="1" x14ac:dyDescent="0.15">
      <c r="A67" s="4">
        <v>18</v>
      </c>
      <c r="B67" s="5" t="s">
        <v>35</v>
      </c>
      <c r="C67" s="82" t="s">
        <v>289</v>
      </c>
      <c r="D67" s="32"/>
      <c r="E67" s="33" t="s">
        <v>290</v>
      </c>
      <c r="F67" s="9"/>
      <c r="G67" s="10" t="s">
        <v>291</v>
      </c>
      <c r="H67" s="11" t="s">
        <v>292</v>
      </c>
      <c r="I67" s="12" t="s">
        <v>84</v>
      </c>
      <c r="J67" s="7"/>
      <c r="K67" s="13"/>
      <c r="L67" s="14"/>
      <c r="M67" s="15">
        <v>25</v>
      </c>
      <c r="N67" s="16">
        <v>209</v>
      </c>
      <c r="O67" s="17">
        <f t="shared" si="15"/>
        <v>627</v>
      </c>
      <c r="P67" s="18">
        <f t="shared" si="19"/>
        <v>94.05</v>
      </c>
      <c r="Q67" s="19">
        <f t="shared" si="17"/>
        <v>721.05</v>
      </c>
      <c r="R67" s="80">
        <f t="shared" si="20"/>
        <v>27650.7</v>
      </c>
      <c r="S67" s="21">
        <v>4</v>
      </c>
      <c r="T67" s="22">
        <v>6</v>
      </c>
      <c r="U67" s="22">
        <v>0</v>
      </c>
      <c r="V67" s="22">
        <f t="shared" si="18"/>
        <v>6</v>
      </c>
      <c r="W67" s="24" t="s">
        <v>42</v>
      </c>
      <c r="X67" s="24">
        <v>0</v>
      </c>
      <c r="Y67" s="24">
        <v>0</v>
      </c>
      <c r="Z67" s="25" t="s">
        <v>194</v>
      </c>
      <c r="AA67" s="26" t="s">
        <v>195</v>
      </c>
      <c r="AB67" s="27"/>
      <c r="AC67" s="27"/>
      <c r="AD67" s="28"/>
      <c r="AE67" s="29" t="s">
        <v>240</v>
      </c>
      <c r="AF67" s="55"/>
      <c r="AG67" s="31" t="s">
        <v>48</v>
      </c>
      <c r="AH67" s="31" t="s">
        <v>48</v>
      </c>
    </row>
    <row r="68" spans="1:34" ht="24.75" customHeight="1" x14ac:dyDescent="0.15">
      <c r="A68" s="4">
        <v>19</v>
      </c>
      <c r="B68" s="5" t="s">
        <v>35</v>
      </c>
      <c r="C68" s="82" t="s">
        <v>293</v>
      </c>
      <c r="D68" s="32"/>
      <c r="E68" s="33" t="s">
        <v>294</v>
      </c>
      <c r="F68" s="9"/>
      <c r="G68" s="10" t="s">
        <v>291</v>
      </c>
      <c r="H68" s="11" t="s">
        <v>292</v>
      </c>
      <c r="I68" s="12" t="s">
        <v>84</v>
      </c>
      <c r="J68" s="7"/>
      <c r="K68" s="13"/>
      <c r="L68" s="14"/>
      <c r="M68" s="15">
        <v>25</v>
      </c>
      <c r="N68" s="16">
        <v>209</v>
      </c>
      <c r="O68" s="17">
        <f t="shared" si="15"/>
        <v>627</v>
      </c>
      <c r="P68" s="18">
        <f t="shared" si="19"/>
        <v>94.05</v>
      </c>
      <c r="Q68" s="19">
        <f t="shared" si="17"/>
        <v>721.05</v>
      </c>
      <c r="R68" s="80">
        <f t="shared" si="20"/>
        <v>27650.7</v>
      </c>
      <c r="S68" s="21">
        <v>4</v>
      </c>
      <c r="T68" s="22">
        <v>6</v>
      </c>
      <c r="U68" s="22">
        <v>0</v>
      </c>
      <c r="V68" s="22">
        <f t="shared" si="18"/>
        <v>6</v>
      </c>
      <c r="W68" s="24" t="s">
        <v>42</v>
      </c>
      <c r="X68" s="24">
        <v>0</v>
      </c>
      <c r="Y68" s="24">
        <v>0</v>
      </c>
      <c r="Z68" s="25" t="s">
        <v>194</v>
      </c>
      <c r="AA68" s="26" t="s">
        <v>195</v>
      </c>
      <c r="AB68" s="27"/>
      <c r="AC68" s="27"/>
      <c r="AD68" s="28"/>
      <c r="AE68" s="29" t="s">
        <v>240</v>
      </c>
      <c r="AF68" s="55"/>
      <c r="AG68" s="31" t="s">
        <v>48</v>
      </c>
      <c r="AH68" s="31" t="s">
        <v>48</v>
      </c>
    </row>
    <row r="69" spans="1:34" ht="24.75" customHeight="1" x14ac:dyDescent="0.15">
      <c r="A69" s="4">
        <v>20</v>
      </c>
      <c r="B69" s="5" t="s">
        <v>35</v>
      </c>
      <c r="C69" s="82" t="s">
        <v>295</v>
      </c>
      <c r="D69" s="32"/>
      <c r="E69" s="33" t="s">
        <v>296</v>
      </c>
      <c r="F69" s="9"/>
      <c r="G69" s="10" t="s">
        <v>291</v>
      </c>
      <c r="H69" s="11" t="s">
        <v>292</v>
      </c>
      <c r="I69" s="12" t="s">
        <v>84</v>
      </c>
      <c r="J69" s="7"/>
      <c r="K69" s="13"/>
      <c r="L69" s="14"/>
      <c r="M69" s="15">
        <v>25</v>
      </c>
      <c r="N69" s="16">
        <v>209</v>
      </c>
      <c r="O69" s="17">
        <f t="shared" si="15"/>
        <v>627</v>
      </c>
      <c r="P69" s="18">
        <f t="shared" si="19"/>
        <v>94.05</v>
      </c>
      <c r="Q69" s="19">
        <f t="shared" si="17"/>
        <v>721.05</v>
      </c>
      <c r="R69" s="80">
        <f t="shared" si="20"/>
        <v>27650.7</v>
      </c>
      <c r="S69" s="21">
        <v>4</v>
      </c>
      <c r="T69" s="22">
        <v>6</v>
      </c>
      <c r="U69" s="22">
        <v>0</v>
      </c>
      <c r="V69" s="22">
        <f t="shared" si="18"/>
        <v>6</v>
      </c>
      <c r="W69" s="24" t="s">
        <v>42</v>
      </c>
      <c r="X69" s="24">
        <v>0</v>
      </c>
      <c r="Y69" s="24">
        <v>0</v>
      </c>
      <c r="Z69" s="25" t="s">
        <v>194</v>
      </c>
      <c r="AA69" s="26" t="s">
        <v>195</v>
      </c>
      <c r="AB69" s="27"/>
      <c r="AC69" s="27"/>
      <c r="AD69" s="28"/>
      <c r="AE69" s="29" t="s">
        <v>240</v>
      </c>
      <c r="AF69" s="55"/>
      <c r="AG69" s="31" t="s">
        <v>48</v>
      </c>
      <c r="AH69" s="31" t="s">
        <v>48</v>
      </c>
    </row>
    <row r="70" spans="1:34" ht="24.75" customHeight="1" x14ac:dyDescent="0.15">
      <c r="A70" s="4">
        <v>21</v>
      </c>
      <c r="B70" s="5" t="s">
        <v>35</v>
      </c>
      <c r="C70" s="82" t="s">
        <v>297</v>
      </c>
      <c r="D70" s="32"/>
      <c r="E70" s="33" t="s">
        <v>298</v>
      </c>
      <c r="F70" s="9"/>
      <c r="G70" s="10" t="s">
        <v>291</v>
      </c>
      <c r="H70" s="11" t="s">
        <v>292</v>
      </c>
      <c r="I70" s="12" t="s">
        <v>84</v>
      </c>
      <c r="J70" s="7"/>
      <c r="K70" s="13"/>
      <c r="L70" s="14"/>
      <c r="M70" s="15">
        <v>25</v>
      </c>
      <c r="N70" s="16">
        <v>209</v>
      </c>
      <c r="O70" s="17">
        <f t="shared" si="15"/>
        <v>627</v>
      </c>
      <c r="P70" s="18">
        <f t="shared" si="19"/>
        <v>94.05</v>
      </c>
      <c r="Q70" s="19">
        <f t="shared" si="17"/>
        <v>721.05</v>
      </c>
      <c r="R70" s="80">
        <f t="shared" si="20"/>
        <v>27650.7</v>
      </c>
      <c r="S70" s="21">
        <v>4</v>
      </c>
      <c r="T70" s="22">
        <v>6</v>
      </c>
      <c r="U70" s="22">
        <v>0</v>
      </c>
      <c r="V70" s="22">
        <f t="shared" si="18"/>
        <v>6</v>
      </c>
      <c r="W70" s="24" t="s">
        <v>42</v>
      </c>
      <c r="X70" s="24">
        <v>0</v>
      </c>
      <c r="Y70" s="24">
        <v>0</v>
      </c>
      <c r="Z70" s="25" t="s">
        <v>194</v>
      </c>
      <c r="AA70" s="26" t="s">
        <v>195</v>
      </c>
      <c r="AB70" s="27"/>
      <c r="AC70" s="27"/>
      <c r="AD70" s="28"/>
      <c r="AE70" s="29" t="s">
        <v>240</v>
      </c>
      <c r="AF70" s="55"/>
      <c r="AG70" s="31" t="s">
        <v>48</v>
      </c>
      <c r="AH70" s="31" t="s">
        <v>48</v>
      </c>
    </row>
    <row r="71" spans="1:34" ht="24.75" customHeight="1" x14ac:dyDescent="0.15">
      <c r="A71" s="4">
        <v>22</v>
      </c>
      <c r="B71" s="5" t="s">
        <v>35</v>
      </c>
      <c r="C71" s="82" t="s">
        <v>299</v>
      </c>
      <c r="D71" s="32"/>
      <c r="E71" s="33" t="s">
        <v>300</v>
      </c>
      <c r="F71" s="9"/>
      <c r="G71" s="10" t="s">
        <v>291</v>
      </c>
      <c r="H71" s="11" t="s">
        <v>292</v>
      </c>
      <c r="I71" s="12" t="s">
        <v>84</v>
      </c>
      <c r="J71" s="7"/>
      <c r="K71" s="13"/>
      <c r="L71" s="14"/>
      <c r="M71" s="15">
        <v>25</v>
      </c>
      <c r="N71" s="16">
        <v>209</v>
      </c>
      <c r="O71" s="17">
        <f t="shared" si="15"/>
        <v>627</v>
      </c>
      <c r="P71" s="18">
        <f t="shared" si="19"/>
        <v>94.05</v>
      </c>
      <c r="Q71" s="19">
        <f t="shared" si="17"/>
        <v>721.05</v>
      </c>
      <c r="R71" s="80">
        <f t="shared" si="20"/>
        <v>27650.7</v>
      </c>
      <c r="S71" s="21">
        <v>4</v>
      </c>
      <c r="T71" s="22">
        <v>6</v>
      </c>
      <c r="U71" s="22">
        <v>0</v>
      </c>
      <c r="V71" s="22">
        <f t="shared" si="18"/>
        <v>6</v>
      </c>
      <c r="W71" s="24" t="s">
        <v>42</v>
      </c>
      <c r="X71" s="24">
        <v>0</v>
      </c>
      <c r="Y71" s="24">
        <v>0</v>
      </c>
      <c r="Z71" s="25" t="s">
        <v>194</v>
      </c>
      <c r="AA71" s="26" t="s">
        <v>195</v>
      </c>
      <c r="AB71" s="27"/>
      <c r="AC71" s="27"/>
      <c r="AD71" s="28"/>
      <c r="AE71" s="29" t="s">
        <v>240</v>
      </c>
      <c r="AF71" s="55"/>
      <c r="AG71" s="31" t="s">
        <v>48</v>
      </c>
      <c r="AH71" s="31" t="s">
        <v>48</v>
      </c>
    </row>
    <row r="72" spans="1:34" ht="24.75" customHeight="1" x14ac:dyDescent="0.15">
      <c r="A72" s="4">
        <v>23</v>
      </c>
      <c r="B72" s="5" t="s">
        <v>35</v>
      </c>
      <c r="C72" s="82" t="s">
        <v>301</v>
      </c>
      <c r="D72" s="32"/>
      <c r="E72" s="33" t="s">
        <v>302</v>
      </c>
      <c r="F72" s="9"/>
      <c r="G72" s="10" t="s">
        <v>291</v>
      </c>
      <c r="H72" s="11" t="s">
        <v>292</v>
      </c>
      <c r="I72" s="12" t="s">
        <v>84</v>
      </c>
      <c r="J72" s="7"/>
      <c r="K72" s="13"/>
      <c r="L72" s="14"/>
      <c r="M72" s="15">
        <v>25</v>
      </c>
      <c r="N72" s="16">
        <v>209</v>
      </c>
      <c r="O72" s="17">
        <f t="shared" si="15"/>
        <v>627</v>
      </c>
      <c r="P72" s="18">
        <f t="shared" si="19"/>
        <v>94.05</v>
      </c>
      <c r="Q72" s="19">
        <f t="shared" si="17"/>
        <v>721.05</v>
      </c>
      <c r="R72" s="80">
        <f t="shared" si="20"/>
        <v>27650.7</v>
      </c>
      <c r="S72" s="21">
        <v>4</v>
      </c>
      <c r="T72" s="22">
        <v>6</v>
      </c>
      <c r="U72" s="22">
        <v>0</v>
      </c>
      <c r="V72" s="22">
        <f t="shared" si="18"/>
        <v>6</v>
      </c>
      <c r="W72" s="24" t="s">
        <v>42</v>
      </c>
      <c r="X72" s="24">
        <v>0</v>
      </c>
      <c r="Y72" s="24">
        <v>0</v>
      </c>
      <c r="Z72" s="25" t="s">
        <v>194</v>
      </c>
      <c r="AA72" s="26" t="s">
        <v>195</v>
      </c>
      <c r="AB72" s="27"/>
      <c r="AC72" s="27"/>
      <c r="AD72" s="28"/>
      <c r="AE72" s="29" t="s">
        <v>240</v>
      </c>
      <c r="AF72" s="55"/>
      <c r="AG72" s="31" t="s">
        <v>48</v>
      </c>
      <c r="AH72" s="31" t="s">
        <v>48</v>
      </c>
    </row>
    <row r="73" spans="1:34" ht="24.75" customHeight="1" x14ac:dyDescent="0.15">
      <c r="A73" s="4">
        <v>24</v>
      </c>
      <c r="B73" s="5" t="s">
        <v>35</v>
      </c>
      <c r="C73" s="82" t="s">
        <v>303</v>
      </c>
      <c r="D73" s="32"/>
      <c r="E73" s="33" t="s">
        <v>304</v>
      </c>
      <c r="F73" s="9"/>
      <c r="G73" s="10" t="s">
        <v>291</v>
      </c>
      <c r="H73" s="11" t="s">
        <v>292</v>
      </c>
      <c r="I73" s="12" t="s">
        <v>84</v>
      </c>
      <c r="J73" s="7"/>
      <c r="K73" s="13"/>
      <c r="L73" s="14"/>
      <c r="M73" s="15">
        <v>25</v>
      </c>
      <c r="N73" s="16">
        <v>209</v>
      </c>
      <c r="O73" s="17">
        <f t="shared" si="15"/>
        <v>627</v>
      </c>
      <c r="P73" s="18">
        <f t="shared" si="19"/>
        <v>94.05</v>
      </c>
      <c r="Q73" s="19">
        <f t="shared" si="17"/>
        <v>721.05</v>
      </c>
      <c r="R73" s="80">
        <f t="shared" si="20"/>
        <v>27650.7</v>
      </c>
      <c r="S73" s="21">
        <v>4</v>
      </c>
      <c r="T73" s="22">
        <v>6</v>
      </c>
      <c r="U73" s="22">
        <v>0</v>
      </c>
      <c r="V73" s="22">
        <f t="shared" si="18"/>
        <v>6</v>
      </c>
      <c r="W73" s="24" t="s">
        <v>42</v>
      </c>
      <c r="X73" s="24">
        <v>0</v>
      </c>
      <c r="Y73" s="24">
        <v>0</v>
      </c>
      <c r="Z73" s="25" t="s">
        <v>194</v>
      </c>
      <c r="AA73" s="26" t="s">
        <v>195</v>
      </c>
      <c r="AB73" s="27"/>
      <c r="AC73" s="27"/>
      <c r="AD73" s="28"/>
      <c r="AE73" s="29" t="s">
        <v>240</v>
      </c>
      <c r="AF73" s="55"/>
      <c r="AG73" s="31" t="s">
        <v>48</v>
      </c>
      <c r="AH73" s="31" t="s">
        <v>48</v>
      </c>
    </row>
    <row r="74" spans="1:34" ht="24.5" customHeight="1" x14ac:dyDescent="0.15">
      <c r="A74" s="4">
        <v>25</v>
      </c>
      <c r="B74" s="5" t="s">
        <v>35</v>
      </c>
      <c r="C74" s="83" t="s">
        <v>289</v>
      </c>
      <c r="D74" s="32"/>
      <c r="E74" s="33" t="s">
        <v>290</v>
      </c>
      <c r="F74" s="9"/>
      <c r="G74" s="10" t="s">
        <v>291</v>
      </c>
      <c r="H74" s="11" t="s">
        <v>292</v>
      </c>
      <c r="I74" s="12" t="s">
        <v>84</v>
      </c>
      <c r="J74" s="7"/>
      <c r="K74" s="13"/>
      <c r="L74" s="14"/>
      <c r="M74" s="15">
        <v>25</v>
      </c>
      <c r="N74" s="16">
        <v>209</v>
      </c>
      <c r="O74" s="17">
        <f t="shared" ref="O74:O80" si="21">N74*3</f>
        <v>627</v>
      </c>
      <c r="P74" s="18">
        <f t="shared" ref="P74:P80" si="22">O74*0.15</f>
        <v>94.05</v>
      </c>
      <c r="Q74" s="19">
        <f t="shared" ref="Q74:Q80" si="23">SUM(O74:P74)</f>
        <v>721.05</v>
      </c>
      <c r="R74" s="80">
        <f t="shared" ref="R74:R80" si="24">(O74*7*6)+(P74*7*2)</f>
        <v>27650.7</v>
      </c>
      <c r="S74" s="21">
        <v>4</v>
      </c>
      <c r="T74" s="22">
        <v>0</v>
      </c>
      <c r="U74" s="22">
        <v>4</v>
      </c>
      <c r="V74" s="22">
        <f t="shared" ref="V74:V80" si="25">SUM(T74:U74)</f>
        <v>4</v>
      </c>
      <c r="W74" s="24" t="s">
        <v>133</v>
      </c>
      <c r="X74" s="24">
        <v>0</v>
      </c>
      <c r="Y74" s="24">
        <v>0</v>
      </c>
      <c r="Z74" s="25" t="s">
        <v>194</v>
      </c>
      <c r="AA74" s="26" t="s">
        <v>195</v>
      </c>
      <c r="AB74" s="27"/>
      <c r="AC74" s="27"/>
      <c r="AD74" s="28"/>
      <c r="AE74" s="29" t="s">
        <v>240</v>
      </c>
      <c r="AF74" s="55"/>
      <c r="AG74" s="31" t="s">
        <v>48</v>
      </c>
      <c r="AH74" s="31" t="s">
        <v>48</v>
      </c>
    </row>
    <row r="75" spans="1:34" ht="24.75" customHeight="1" x14ac:dyDescent="0.15">
      <c r="A75" s="4">
        <v>26</v>
      </c>
      <c r="B75" s="5" t="s">
        <v>35</v>
      </c>
      <c r="C75" s="83" t="s">
        <v>293</v>
      </c>
      <c r="D75" s="32"/>
      <c r="E75" s="33" t="s">
        <v>294</v>
      </c>
      <c r="F75" s="9"/>
      <c r="G75" s="10" t="s">
        <v>291</v>
      </c>
      <c r="H75" s="11" t="s">
        <v>292</v>
      </c>
      <c r="I75" s="12" t="s">
        <v>84</v>
      </c>
      <c r="J75" s="7"/>
      <c r="K75" s="13"/>
      <c r="L75" s="14"/>
      <c r="M75" s="15">
        <v>25</v>
      </c>
      <c r="N75" s="16">
        <v>209</v>
      </c>
      <c r="O75" s="17">
        <f t="shared" si="21"/>
        <v>627</v>
      </c>
      <c r="P75" s="18">
        <f t="shared" si="22"/>
        <v>94.05</v>
      </c>
      <c r="Q75" s="19">
        <f t="shared" si="23"/>
        <v>721.05</v>
      </c>
      <c r="R75" s="80">
        <f t="shared" si="24"/>
        <v>27650.7</v>
      </c>
      <c r="S75" s="21">
        <v>4</v>
      </c>
      <c r="T75" s="22">
        <v>0</v>
      </c>
      <c r="U75" s="22">
        <v>4</v>
      </c>
      <c r="V75" s="22">
        <f t="shared" si="25"/>
        <v>4</v>
      </c>
      <c r="W75" s="24" t="s">
        <v>133</v>
      </c>
      <c r="X75" s="24">
        <v>0</v>
      </c>
      <c r="Y75" s="24">
        <v>0</v>
      </c>
      <c r="Z75" s="25" t="s">
        <v>194</v>
      </c>
      <c r="AA75" s="26" t="s">
        <v>195</v>
      </c>
      <c r="AB75" s="27"/>
      <c r="AC75" s="27"/>
      <c r="AD75" s="28"/>
      <c r="AE75" s="29" t="s">
        <v>240</v>
      </c>
      <c r="AF75" s="55"/>
      <c r="AG75" s="31" t="s">
        <v>48</v>
      </c>
      <c r="AH75" s="31" t="s">
        <v>48</v>
      </c>
    </row>
    <row r="76" spans="1:34" ht="24.75" customHeight="1" x14ac:dyDescent="0.15">
      <c r="A76" s="4">
        <v>27</v>
      </c>
      <c r="B76" s="5" t="s">
        <v>35</v>
      </c>
      <c r="C76" s="83" t="s">
        <v>295</v>
      </c>
      <c r="D76" s="32"/>
      <c r="E76" s="33" t="s">
        <v>296</v>
      </c>
      <c r="F76" s="9"/>
      <c r="G76" s="10" t="s">
        <v>291</v>
      </c>
      <c r="H76" s="11" t="s">
        <v>292</v>
      </c>
      <c r="I76" s="12" t="s">
        <v>84</v>
      </c>
      <c r="J76" s="7"/>
      <c r="K76" s="13"/>
      <c r="L76" s="14"/>
      <c r="M76" s="15">
        <v>25</v>
      </c>
      <c r="N76" s="16">
        <v>209</v>
      </c>
      <c r="O76" s="17">
        <f t="shared" si="21"/>
        <v>627</v>
      </c>
      <c r="P76" s="18">
        <f t="shared" si="22"/>
        <v>94.05</v>
      </c>
      <c r="Q76" s="19">
        <f t="shared" si="23"/>
        <v>721.05</v>
      </c>
      <c r="R76" s="80">
        <f t="shared" si="24"/>
        <v>27650.7</v>
      </c>
      <c r="S76" s="21">
        <v>4</v>
      </c>
      <c r="T76" s="22">
        <v>0</v>
      </c>
      <c r="U76" s="22">
        <v>4</v>
      </c>
      <c r="V76" s="22">
        <f t="shared" si="25"/>
        <v>4</v>
      </c>
      <c r="W76" s="24" t="s">
        <v>133</v>
      </c>
      <c r="X76" s="24">
        <v>0</v>
      </c>
      <c r="Y76" s="24">
        <v>0</v>
      </c>
      <c r="Z76" s="25" t="s">
        <v>194</v>
      </c>
      <c r="AA76" s="26" t="s">
        <v>195</v>
      </c>
      <c r="AB76" s="27"/>
      <c r="AC76" s="27"/>
      <c r="AD76" s="28"/>
      <c r="AE76" s="29" t="s">
        <v>240</v>
      </c>
      <c r="AF76" s="55"/>
      <c r="AG76" s="31" t="s">
        <v>48</v>
      </c>
      <c r="AH76" s="31" t="s">
        <v>48</v>
      </c>
    </row>
    <row r="77" spans="1:34" ht="24.75" customHeight="1" x14ac:dyDescent="0.15">
      <c r="A77" s="4">
        <v>28</v>
      </c>
      <c r="B77" s="5" t="s">
        <v>35</v>
      </c>
      <c r="C77" s="83" t="s">
        <v>297</v>
      </c>
      <c r="D77" s="32"/>
      <c r="E77" s="33" t="s">
        <v>298</v>
      </c>
      <c r="F77" s="9"/>
      <c r="G77" s="10" t="s">
        <v>291</v>
      </c>
      <c r="H77" s="11" t="s">
        <v>292</v>
      </c>
      <c r="I77" s="12" t="s">
        <v>84</v>
      </c>
      <c r="J77" s="7"/>
      <c r="K77" s="13"/>
      <c r="L77" s="14"/>
      <c r="M77" s="15">
        <v>25</v>
      </c>
      <c r="N77" s="16">
        <v>209</v>
      </c>
      <c r="O77" s="17">
        <f t="shared" si="21"/>
        <v>627</v>
      </c>
      <c r="P77" s="18">
        <f t="shared" si="22"/>
        <v>94.05</v>
      </c>
      <c r="Q77" s="19">
        <f t="shared" si="23"/>
        <v>721.05</v>
      </c>
      <c r="R77" s="80">
        <f t="shared" si="24"/>
        <v>27650.7</v>
      </c>
      <c r="S77" s="21">
        <v>4</v>
      </c>
      <c r="T77" s="22">
        <v>0</v>
      </c>
      <c r="U77" s="22">
        <v>4</v>
      </c>
      <c r="V77" s="22">
        <f t="shared" si="25"/>
        <v>4</v>
      </c>
      <c r="W77" s="24" t="s">
        <v>133</v>
      </c>
      <c r="X77" s="24">
        <v>0</v>
      </c>
      <c r="Y77" s="24">
        <v>0</v>
      </c>
      <c r="Z77" s="25" t="s">
        <v>194</v>
      </c>
      <c r="AA77" s="26" t="s">
        <v>195</v>
      </c>
      <c r="AB77" s="27"/>
      <c r="AC77" s="27"/>
      <c r="AD77" s="28"/>
      <c r="AE77" s="29" t="s">
        <v>240</v>
      </c>
      <c r="AF77" s="55"/>
      <c r="AG77" s="31" t="s">
        <v>48</v>
      </c>
      <c r="AH77" s="31" t="s">
        <v>48</v>
      </c>
    </row>
    <row r="78" spans="1:34" ht="24.75" customHeight="1" x14ac:dyDescent="0.15">
      <c r="A78" s="4">
        <v>29</v>
      </c>
      <c r="B78" s="5" t="s">
        <v>35</v>
      </c>
      <c r="C78" s="83" t="s">
        <v>299</v>
      </c>
      <c r="D78" s="32"/>
      <c r="E78" s="33" t="s">
        <v>300</v>
      </c>
      <c r="F78" s="9"/>
      <c r="G78" s="10" t="s">
        <v>291</v>
      </c>
      <c r="H78" s="11" t="s">
        <v>292</v>
      </c>
      <c r="I78" s="12" t="s">
        <v>84</v>
      </c>
      <c r="J78" s="7"/>
      <c r="K78" s="13"/>
      <c r="L78" s="14"/>
      <c r="M78" s="15">
        <v>25</v>
      </c>
      <c r="N78" s="16">
        <v>209</v>
      </c>
      <c r="O78" s="17">
        <f t="shared" si="21"/>
        <v>627</v>
      </c>
      <c r="P78" s="18">
        <f t="shared" si="22"/>
        <v>94.05</v>
      </c>
      <c r="Q78" s="19">
        <f t="shared" si="23"/>
        <v>721.05</v>
      </c>
      <c r="R78" s="80">
        <f t="shared" si="24"/>
        <v>27650.7</v>
      </c>
      <c r="S78" s="21">
        <v>4</v>
      </c>
      <c r="T78" s="22">
        <v>0</v>
      </c>
      <c r="U78" s="22">
        <v>4</v>
      </c>
      <c r="V78" s="22">
        <f t="shared" si="25"/>
        <v>4</v>
      </c>
      <c r="W78" s="24" t="s">
        <v>133</v>
      </c>
      <c r="X78" s="24">
        <v>0</v>
      </c>
      <c r="Y78" s="24">
        <v>0</v>
      </c>
      <c r="Z78" s="25" t="s">
        <v>194</v>
      </c>
      <c r="AA78" s="26" t="s">
        <v>195</v>
      </c>
      <c r="AB78" s="27"/>
      <c r="AC78" s="27"/>
      <c r="AD78" s="28"/>
      <c r="AE78" s="29" t="s">
        <v>240</v>
      </c>
      <c r="AF78" s="55"/>
      <c r="AG78" s="31" t="s">
        <v>48</v>
      </c>
      <c r="AH78" s="31" t="s">
        <v>48</v>
      </c>
    </row>
    <row r="79" spans="1:34" ht="24.75" customHeight="1" x14ac:dyDescent="0.15">
      <c r="A79" s="4">
        <v>30</v>
      </c>
      <c r="B79" s="5" t="s">
        <v>35</v>
      </c>
      <c r="C79" s="83" t="s">
        <v>301</v>
      </c>
      <c r="D79" s="32"/>
      <c r="E79" s="33" t="s">
        <v>302</v>
      </c>
      <c r="F79" s="9"/>
      <c r="G79" s="10" t="s">
        <v>291</v>
      </c>
      <c r="H79" s="11" t="s">
        <v>292</v>
      </c>
      <c r="I79" s="12" t="s">
        <v>84</v>
      </c>
      <c r="J79" s="7"/>
      <c r="K79" s="13"/>
      <c r="L79" s="14"/>
      <c r="M79" s="15">
        <v>25</v>
      </c>
      <c r="N79" s="16">
        <v>209</v>
      </c>
      <c r="O79" s="17">
        <f t="shared" si="21"/>
        <v>627</v>
      </c>
      <c r="P79" s="18">
        <f t="shared" si="22"/>
        <v>94.05</v>
      </c>
      <c r="Q79" s="19">
        <f t="shared" si="23"/>
        <v>721.05</v>
      </c>
      <c r="R79" s="80">
        <f t="shared" si="24"/>
        <v>27650.7</v>
      </c>
      <c r="S79" s="21">
        <v>4</v>
      </c>
      <c r="T79" s="22">
        <v>0</v>
      </c>
      <c r="U79" s="22">
        <v>4</v>
      </c>
      <c r="V79" s="22">
        <f t="shared" si="25"/>
        <v>4</v>
      </c>
      <c r="W79" s="24" t="s">
        <v>133</v>
      </c>
      <c r="X79" s="24">
        <v>0</v>
      </c>
      <c r="Y79" s="24">
        <v>0</v>
      </c>
      <c r="Z79" s="25" t="s">
        <v>194</v>
      </c>
      <c r="AA79" s="26" t="s">
        <v>195</v>
      </c>
      <c r="AB79" s="27"/>
      <c r="AC79" s="27"/>
      <c r="AD79" s="28"/>
      <c r="AE79" s="29" t="s">
        <v>240</v>
      </c>
      <c r="AF79" s="55"/>
      <c r="AG79" s="31" t="s">
        <v>48</v>
      </c>
      <c r="AH79" s="31" t="s">
        <v>48</v>
      </c>
    </row>
    <row r="80" spans="1:34" ht="24.75" customHeight="1" x14ac:dyDescent="0.15">
      <c r="A80" s="4">
        <v>31</v>
      </c>
      <c r="B80" s="5" t="s">
        <v>35</v>
      </c>
      <c r="C80" s="83" t="s">
        <v>303</v>
      </c>
      <c r="D80" s="32"/>
      <c r="E80" s="33" t="s">
        <v>304</v>
      </c>
      <c r="F80" s="9"/>
      <c r="G80" s="10" t="s">
        <v>291</v>
      </c>
      <c r="H80" s="11" t="s">
        <v>292</v>
      </c>
      <c r="I80" s="12" t="s">
        <v>84</v>
      </c>
      <c r="J80" s="7"/>
      <c r="K80" s="13"/>
      <c r="L80" s="14"/>
      <c r="M80" s="15">
        <v>25</v>
      </c>
      <c r="N80" s="16">
        <v>209</v>
      </c>
      <c r="O80" s="17">
        <f t="shared" si="21"/>
        <v>627</v>
      </c>
      <c r="P80" s="18">
        <f t="shared" si="22"/>
        <v>94.05</v>
      </c>
      <c r="Q80" s="19">
        <f t="shared" si="23"/>
        <v>721.05</v>
      </c>
      <c r="R80" s="80">
        <f t="shared" si="24"/>
        <v>27650.7</v>
      </c>
      <c r="S80" s="21">
        <v>4</v>
      </c>
      <c r="T80" s="22">
        <v>0</v>
      </c>
      <c r="U80" s="22">
        <v>4</v>
      </c>
      <c r="V80" s="22">
        <f t="shared" si="25"/>
        <v>4</v>
      </c>
      <c r="W80" s="24" t="s">
        <v>133</v>
      </c>
      <c r="X80" s="24">
        <v>0</v>
      </c>
      <c r="Y80" s="24">
        <v>0</v>
      </c>
      <c r="Z80" s="25" t="s">
        <v>194</v>
      </c>
      <c r="AA80" s="26" t="s">
        <v>195</v>
      </c>
      <c r="AB80" s="27"/>
      <c r="AC80" s="27"/>
      <c r="AD80" s="28"/>
      <c r="AE80" s="29" t="s">
        <v>240</v>
      </c>
      <c r="AF80" s="55"/>
      <c r="AG80" s="31" t="s">
        <v>48</v>
      </c>
      <c r="AH80" s="31" t="s">
        <v>48</v>
      </c>
    </row>
    <row r="81" spans="1:34" ht="24.5" customHeight="1" x14ac:dyDescent="0.15">
      <c r="A81" s="4">
        <v>32</v>
      </c>
      <c r="B81" s="5" t="s">
        <v>35</v>
      </c>
      <c r="C81" s="83" t="str">
        <f t="shared" ref="C81:C86" si="26">UPPER(SUBSTITUTE(E81, " ", ""))</f>
        <v>ECOHOME1BLOCKE1A</v>
      </c>
      <c r="D81" s="32"/>
      <c r="E81" s="33" t="s">
        <v>237</v>
      </c>
      <c r="F81" s="9"/>
      <c r="G81" s="10" t="s">
        <v>238</v>
      </c>
      <c r="H81" s="11" t="s">
        <v>239</v>
      </c>
      <c r="I81" s="12" t="s">
        <v>84</v>
      </c>
      <c r="J81" s="7"/>
      <c r="K81" s="13"/>
      <c r="L81" s="14"/>
      <c r="M81" s="15">
        <v>12</v>
      </c>
      <c r="N81" s="16">
        <v>155</v>
      </c>
      <c r="O81" s="17">
        <f t="shared" si="15"/>
        <v>465</v>
      </c>
      <c r="P81" s="18">
        <f t="shared" si="19"/>
        <v>69.75</v>
      </c>
      <c r="Q81" s="19">
        <f t="shared" si="17"/>
        <v>534.75</v>
      </c>
      <c r="R81" s="80">
        <f t="shared" si="20"/>
        <v>20506.5</v>
      </c>
      <c r="S81" s="21">
        <v>2</v>
      </c>
      <c r="T81" s="22">
        <v>1</v>
      </c>
      <c r="U81" s="22">
        <v>1</v>
      </c>
      <c r="V81" s="22">
        <f t="shared" si="18"/>
        <v>2</v>
      </c>
      <c r="W81" s="24" t="s">
        <v>133</v>
      </c>
      <c r="X81" s="24">
        <v>0</v>
      </c>
      <c r="Y81" s="24">
        <v>0</v>
      </c>
      <c r="Z81" s="25" t="s">
        <v>194</v>
      </c>
      <c r="AA81" s="26" t="s">
        <v>195</v>
      </c>
      <c r="AB81" s="27"/>
      <c r="AC81" s="27"/>
      <c r="AD81" s="28"/>
      <c r="AE81" s="29" t="s">
        <v>240</v>
      </c>
      <c r="AF81" s="55"/>
      <c r="AG81" s="31" t="s">
        <v>48</v>
      </c>
      <c r="AH81" s="31" t="s">
        <v>48</v>
      </c>
    </row>
    <row r="82" spans="1:34" ht="24.75" customHeight="1" x14ac:dyDescent="0.15">
      <c r="A82" s="4">
        <v>33</v>
      </c>
      <c r="B82" s="5" t="s">
        <v>35</v>
      </c>
      <c r="C82" s="83" t="str">
        <f t="shared" si="26"/>
        <v>ECOHOME1BLOCKE1B</v>
      </c>
      <c r="D82" s="32"/>
      <c r="E82" s="33" t="s">
        <v>241</v>
      </c>
      <c r="F82" s="9"/>
      <c r="G82" s="10" t="s">
        <v>238</v>
      </c>
      <c r="H82" s="11" t="s">
        <v>239</v>
      </c>
      <c r="I82" s="12" t="s">
        <v>84</v>
      </c>
      <c r="J82" s="7"/>
      <c r="K82" s="13"/>
      <c r="L82" s="14"/>
      <c r="M82" s="15">
        <v>12</v>
      </c>
      <c r="N82" s="16">
        <v>155</v>
      </c>
      <c r="O82" s="17">
        <f t="shared" si="15"/>
        <v>465</v>
      </c>
      <c r="P82" s="18">
        <f t="shared" si="19"/>
        <v>69.75</v>
      </c>
      <c r="Q82" s="19">
        <f t="shared" si="17"/>
        <v>534.75</v>
      </c>
      <c r="R82" s="80">
        <f t="shared" si="20"/>
        <v>20506.5</v>
      </c>
      <c r="S82" s="21">
        <v>2</v>
      </c>
      <c r="T82" s="22">
        <v>1</v>
      </c>
      <c r="U82" s="22">
        <v>1</v>
      </c>
      <c r="V82" s="22">
        <f t="shared" si="18"/>
        <v>2</v>
      </c>
      <c r="W82" s="24" t="s">
        <v>133</v>
      </c>
      <c r="X82" s="24">
        <v>0</v>
      </c>
      <c r="Y82" s="24">
        <v>0</v>
      </c>
      <c r="Z82" s="25" t="s">
        <v>194</v>
      </c>
      <c r="AA82" s="26" t="s">
        <v>195</v>
      </c>
      <c r="AB82" s="27"/>
      <c r="AC82" s="27"/>
      <c r="AD82" s="28"/>
      <c r="AE82" s="29" t="s">
        <v>240</v>
      </c>
      <c r="AF82" s="55"/>
      <c r="AG82" s="31" t="s">
        <v>48</v>
      </c>
      <c r="AH82" s="31" t="s">
        <v>48</v>
      </c>
    </row>
    <row r="83" spans="1:34" ht="24.75" customHeight="1" x14ac:dyDescent="0.15">
      <c r="A83" s="4">
        <v>34</v>
      </c>
      <c r="B83" s="5" t="s">
        <v>35</v>
      </c>
      <c r="C83" s="83" t="str">
        <f t="shared" si="26"/>
        <v>ECOHOME1BLOCKE2</v>
      </c>
      <c r="D83" s="32"/>
      <c r="E83" s="33" t="s">
        <v>242</v>
      </c>
      <c r="F83" s="9"/>
      <c r="G83" s="10" t="s">
        <v>238</v>
      </c>
      <c r="H83" s="11" t="s">
        <v>239</v>
      </c>
      <c r="I83" s="12" t="s">
        <v>84</v>
      </c>
      <c r="J83" s="7"/>
      <c r="K83" s="13"/>
      <c r="L83" s="14"/>
      <c r="M83" s="15">
        <v>12</v>
      </c>
      <c r="N83" s="16">
        <v>155</v>
      </c>
      <c r="O83" s="17">
        <f t="shared" si="15"/>
        <v>465</v>
      </c>
      <c r="P83" s="18">
        <f t="shared" si="19"/>
        <v>69.75</v>
      </c>
      <c r="Q83" s="19">
        <f t="shared" si="17"/>
        <v>534.75</v>
      </c>
      <c r="R83" s="80">
        <f t="shared" si="20"/>
        <v>20506.5</v>
      </c>
      <c r="S83" s="21">
        <v>3</v>
      </c>
      <c r="T83" s="22">
        <v>2</v>
      </c>
      <c r="U83" s="22">
        <v>2</v>
      </c>
      <c r="V83" s="22">
        <f t="shared" si="18"/>
        <v>4</v>
      </c>
      <c r="W83" s="24" t="s">
        <v>133</v>
      </c>
      <c r="X83" s="24">
        <v>0</v>
      </c>
      <c r="Y83" s="24">
        <v>0</v>
      </c>
      <c r="Z83" s="25" t="s">
        <v>194</v>
      </c>
      <c r="AA83" s="26" t="s">
        <v>195</v>
      </c>
      <c r="AB83" s="27"/>
      <c r="AC83" s="27"/>
      <c r="AD83" s="28"/>
      <c r="AE83" s="29" t="s">
        <v>240</v>
      </c>
      <c r="AF83" s="55"/>
      <c r="AG83" s="31" t="s">
        <v>48</v>
      </c>
      <c r="AH83" s="31" t="s">
        <v>48</v>
      </c>
    </row>
    <row r="84" spans="1:34" ht="24.75" customHeight="1" x14ac:dyDescent="0.15">
      <c r="A84" s="4">
        <v>35</v>
      </c>
      <c r="B84" s="5" t="s">
        <v>35</v>
      </c>
      <c r="C84" s="83" t="str">
        <f t="shared" si="26"/>
        <v>ECOHOME1BLOCKE3A</v>
      </c>
      <c r="D84" s="32"/>
      <c r="E84" s="33" t="s">
        <v>243</v>
      </c>
      <c r="F84" s="9"/>
      <c r="G84" s="10" t="s">
        <v>238</v>
      </c>
      <c r="H84" s="11" t="s">
        <v>239</v>
      </c>
      <c r="I84" s="12" t="s">
        <v>84</v>
      </c>
      <c r="J84" s="7"/>
      <c r="K84" s="13"/>
      <c r="L84" s="14"/>
      <c r="M84" s="15">
        <v>12</v>
      </c>
      <c r="N84" s="16">
        <v>155</v>
      </c>
      <c r="O84" s="17">
        <f t="shared" si="15"/>
        <v>465</v>
      </c>
      <c r="P84" s="18">
        <f t="shared" si="19"/>
        <v>69.75</v>
      </c>
      <c r="Q84" s="19">
        <f t="shared" si="17"/>
        <v>534.75</v>
      </c>
      <c r="R84" s="80">
        <f t="shared" si="20"/>
        <v>20506.5</v>
      </c>
      <c r="S84" s="21">
        <v>2</v>
      </c>
      <c r="T84" s="22">
        <v>1</v>
      </c>
      <c r="U84" s="22">
        <v>1</v>
      </c>
      <c r="V84" s="22">
        <f t="shared" si="18"/>
        <v>2</v>
      </c>
      <c r="W84" s="24" t="s">
        <v>133</v>
      </c>
      <c r="X84" s="24">
        <v>0</v>
      </c>
      <c r="Y84" s="24">
        <v>0</v>
      </c>
      <c r="Z84" s="25" t="s">
        <v>194</v>
      </c>
      <c r="AA84" s="26" t="s">
        <v>195</v>
      </c>
      <c r="AB84" s="27"/>
      <c r="AC84" s="27"/>
      <c r="AD84" s="28"/>
      <c r="AE84" s="29" t="s">
        <v>256</v>
      </c>
      <c r="AF84" s="55"/>
      <c r="AG84" s="31" t="s">
        <v>48</v>
      </c>
      <c r="AH84" s="31" t="s">
        <v>48</v>
      </c>
    </row>
    <row r="85" spans="1:34" ht="24.75" customHeight="1" x14ac:dyDescent="0.15">
      <c r="A85" s="4">
        <v>36</v>
      </c>
      <c r="B85" s="5" t="s">
        <v>35</v>
      </c>
      <c r="C85" s="83" t="str">
        <f t="shared" si="26"/>
        <v>ECOHOME1BLOCKE3B</v>
      </c>
      <c r="D85" s="32"/>
      <c r="E85" s="33" t="s">
        <v>244</v>
      </c>
      <c r="F85" s="9"/>
      <c r="G85" s="10" t="s">
        <v>238</v>
      </c>
      <c r="H85" s="11" t="s">
        <v>239</v>
      </c>
      <c r="I85" s="12" t="s">
        <v>84</v>
      </c>
      <c r="J85" s="7"/>
      <c r="K85" s="13"/>
      <c r="L85" s="14"/>
      <c r="M85" s="15">
        <v>12</v>
      </c>
      <c r="N85" s="16">
        <v>155</v>
      </c>
      <c r="O85" s="17">
        <f t="shared" si="15"/>
        <v>465</v>
      </c>
      <c r="P85" s="18">
        <f t="shared" si="19"/>
        <v>69.75</v>
      </c>
      <c r="Q85" s="19">
        <f t="shared" si="17"/>
        <v>534.75</v>
      </c>
      <c r="R85" s="80">
        <f t="shared" si="20"/>
        <v>20506.5</v>
      </c>
      <c r="S85" s="21">
        <v>2</v>
      </c>
      <c r="T85" s="22">
        <v>1</v>
      </c>
      <c r="U85" s="22">
        <v>1</v>
      </c>
      <c r="V85" s="22">
        <f t="shared" si="18"/>
        <v>2</v>
      </c>
      <c r="W85" s="24" t="s">
        <v>133</v>
      </c>
      <c r="X85" s="24">
        <v>0</v>
      </c>
      <c r="Y85" s="24">
        <v>0</v>
      </c>
      <c r="Z85" s="25" t="s">
        <v>194</v>
      </c>
      <c r="AA85" s="26" t="s">
        <v>195</v>
      </c>
      <c r="AB85" s="27"/>
      <c r="AC85" s="27"/>
      <c r="AD85" s="28"/>
      <c r="AE85" s="29" t="s">
        <v>256</v>
      </c>
      <c r="AF85" s="55"/>
      <c r="AG85" s="31" t="s">
        <v>48</v>
      </c>
      <c r="AH85" s="31" t="s">
        <v>48</v>
      </c>
    </row>
    <row r="86" spans="1:34" ht="24.75" customHeight="1" x14ac:dyDescent="0.15">
      <c r="A86" s="4">
        <v>37</v>
      </c>
      <c r="B86" s="5" t="s">
        <v>35</v>
      </c>
      <c r="C86" s="83" t="str">
        <f t="shared" si="26"/>
        <v>ECOHOME1BLOCKE4</v>
      </c>
      <c r="D86" s="32"/>
      <c r="E86" s="33" t="s">
        <v>245</v>
      </c>
      <c r="F86" s="9"/>
      <c r="G86" s="10" t="s">
        <v>238</v>
      </c>
      <c r="H86" s="11" t="s">
        <v>239</v>
      </c>
      <c r="I86" s="12" t="s">
        <v>84</v>
      </c>
      <c r="J86" s="7"/>
      <c r="K86" s="13"/>
      <c r="L86" s="14"/>
      <c r="M86" s="15">
        <v>12</v>
      </c>
      <c r="N86" s="16">
        <v>155</v>
      </c>
      <c r="O86" s="17">
        <f t="shared" si="15"/>
        <v>465</v>
      </c>
      <c r="P86" s="18">
        <f t="shared" si="19"/>
        <v>69.75</v>
      </c>
      <c r="Q86" s="19">
        <f t="shared" si="17"/>
        <v>534.75</v>
      </c>
      <c r="R86" s="80">
        <f t="shared" si="20"/>
        <v>20506.5</v>
      </c>
      <c r="S86" s="21">
        <v>3</v>
      </c>
      <c r="T86" s="22">
        <v>2</v>
      </c>
      <c r="U86" s="22">
        <v>2</v>
      </c>
      <c r="V86" s="22">
        <f t="shared" si="18"/>
        <v>4</v>
      </c>
      <c r="W86" s="24" t="s">
        <v>133</v>
      </c>
      <c r="X86" s="24">
        <v>0</v>
      </c>
      <c r="Y86" s="24">
        <v>0</v>
      </c>
      <c r="Z86" s="25" t="s">
        <v>194</v>
      </c>
      <c r="AA86" s="26" t="s">
        <v>195</v>
      </c>
      <c r="AB86" s="27"/>
      <c r="AC86" s="27"/>
      <c r="AD86" s="28"/>
      <c r="AE86" s="29" t="s">
        <v>256</v>
      </c>
      <c r="AF86" s="30" t="s">
        <v>172</v>
      </c>
      <c r="AG86" s="31" t="s">
        <v>48</v>
      </c>
      <c r="AH86" s="31" t="s">
        <v>48</v>
      </c>
    </row>
    <row r="87" spans="1:34" ht="24.75" customHeight="1" x14ac:dyDescent="0.15">
      <c r="A87" s="4">
        <v>38</v>
      </c>
      <c r="B87" s="5" t="s">
        <v>35</v>
      </c>
      <c r="C87" s="83" t="s">
        <v>246</v>
      </c>
      <c r="D87" s="32"/>
      <c r="E87" s="33" t="s">
        <v>247</v>
      </c>
      <c r="F87" s="9"/>
      <c r="G87" s="10" t="s">
        <v>238</v>
      </c>
      <c r="H87" s="11" t="s">
        <v>239</v>
      </c>
      <c r="I87" s="12" t="s">
        <v>84</v>
      </c>
      <c r="J87" s="7"/>
      <c r="K87" s="13"/>
      <c r="L87" s="14"/>
      <c r="M87" s="15">
        <v>17</v>
      </c>
      <c r="N87" s="16">
        <v>245</v>
      </c>
      <c r="O87" s="17">
        <f t="shared" si="15"/>
        <v>735</v>
      </c>
      <c r="P87" s="18">
        <f t="shared" si="19"/>
        <v>110.25</v>
      </c>
      <c r="Q87" s="19">
        <f t="shared" si="17"/>
        <v>845.25</v>
      </c>
      <c r="R87" s="80">
        <f t="shared" si="20"/>
        <v>32413.5</v>
      </c>
      <c r="S87" s="21">
        <v>4</v>
      </c>
      <c r="T87" s="22">
        <v>6</v>
      </c>
      <c r="U87" s="22">
        <v>4</v>
      </c>
      <c r="V87" s="22">
        <f t="shared" si="18"/>
        <v>10</v>
      </c>
      <c r="W87" s="24" t="s">
        <v>133</v>
      </c>
      <c r="X87" s="24">
        <v>0</v>
      </c>
      <c r="Y87" s="24">
        <v>0</v>
      </c>
      <c r="Z87" s="25" t="s">
        <v>194</v>
      </c>
      <c r="AA87" s="26" t="s">
        <v>195</v>
      </c>
      <c r="AB87" s="27"/>
      <c r="AC87" s="27"/>
      <c r="AD87" s="28"/>
      <c r="AE87" s="29" t="s">
        <v>256</v>
      </c>
      <c r="AF87" s="30" t="s">
        <v>172</v>
      </c>
      <c r="AG87" s="31" t="s">
        <v>48</v>
      </c>
      <c r="AH87" s="31" t="s">
        <v>48</v>
      </c>
    </row>
    <row r="88" spans="1:34" ht="24.75" customHeight="1" x14ac:dyDescent="0.15">
      <c r="A88" s="4">
        <v>39</v>
      </c>
      <c r="B88" s="5" t="s">
        <v>35</v>
      </c>
      <c r="C88" s="83" t="s">
        <v>248</v>
      </c>
      <c r="D88" s="32"/>
      <c r="E88" s="33" t="s">
        <v>249</v>
      </c>
      <c r="F88" s="9"/>
      <c r="G88" s="10" t="s">
        <v>238</v>
      </c>
      <c r="H88" s="11" t="s">
        <v>239</v>
      </c>
      <c r="I88" s="12" t="s">
        <v>84</v>
      </c>
      <c r="J88" s="7"/>
      <c r="K88" s="13"/>
      <c r="L88" s="14"/>
      <c r="M88" s="15">
        <v>17</v>
      </c>
      <c r="N88" s="16">
        <v>245</v>
      </c>
      <c r="O88" s="17">
        <f t="shared" si="15"/>
        <v>735</v>
      </c>
      <c r="P88" s="18">
        <f t="shared" si="19"/>
        <v>110.25</v>
      </c>
      <c r="Q88" s="19">
        <f t="shared" si="17"/>
        <v>845.25</v>
      </c>
      <c r="R88" s="80">
        <f t="shared" si="20"/>
        <v>32413.5</v>
      </c>
      <c r="S88" s="21">
        <v>4</v>
      </c>
      <c r="T88" s="22">
        <v>6</v>
      </c>
      <c r="U88" s="22">
        <v>4</v>
      </c>
      <c r="V88" s="22">
        <f t="shared" si="18"/>
        <v>10</v>
      </c>
      <c r="W88" s="24" t="s">
        <v>133</v>
      </c>
      <c r="X88" s="24">
        <v>0</v>
      </c>
      <c r="Y88" s="24">
        <v>0</v>
      </c>
      <c r="Z88" s="25" t="s">
        <v>194</v>
      </c>
      <c r="AA88" s="26" t="s">
        <v>195</v>
      </c>
      <c r="AB88" s="27"/>
      <c r="AC88" s="27"/>
      <c r="AD88" s="28"/>
      <c r="AE88" s="29" t="s">
        <v>240</v>
      </c>
      <c r="AF88" s="30" t="s">
        <v>189</v>
      </c>
      <c r="AG88" s="31" t="s">
        <v>48</v>
      </c>
      <c r="AH88" s="31" t="s">
        <v>49</v>
      </c>
    </row>
    <row r="89" spans="1:34" ht="24.75" customHeight="1" x14ac:dyDescent="0.15">
      <c r="A89" s="4">
        <v>40</v>
      </c>
      <c r="B89" s="5" t="s">
        <v>35</v>
      </c>
      <c r="C89" s="83" t="s">
        <v>250</v>
      </c>
      <c r="D89" s="32"/>
      <c r="E89" s="33" t="s">
        <v>251</v>
      </c>
      <c r="F89" s="9"/>
      <c r="G89" s="10" t="s">
        <v>238</v>
      </c>
      <c r="H89" s="11" t="s">
        <v>239</v>
      </c>
      <c r="I89" s="12" t="s">
        <v>84</v>
      </c>
      <c r="J89" s="7"/>
      <c r="K89" s="13"/>
      <c r="L89" s="14"/>
      <c r="M89" s="15">
        <v>17</v>
      </c>
      <c r="N89" s="16">
        <v>245</v>
      </c>
      <c r="O89" s="17">
        <f t="shared" ref="O89:O117" si="27">N89*3</f>
        <v>735</v>
      </c>
      <c r="P89" s="18">
        <f t="shared" si="19"/>
        <v>110.25</v>
      </c>
      <c r="Q89" s="19">
        <f t="shared" ref="Q89:Q117" si="28">SUM(O89:P89)</f>
        <v>845.25</v>
      </c>
      <c r="R89" s="80">
        <f t="shared" si="20"/>
        <v>32413.5</v>
      </c>
      <c r="S89" s="21">
        <v>4</v>
      </c>
      <c r="T89" s="22">
        <v>6</v>
      </c>
      <c r="U89" s="22">
        <v>4</v>
      </c>
      <c r="V89" s="22">
        <f t="shared" ref="V89:V123" si="29">SUM(T89:U89)</f>
        <v>10</v>
      </c>
      <c r="W89" s="24" t="s">
        <v>133</v>
      </c>
      <c r="X89" s="24">
        <v>0</v>
      </c>
      <c r="Y89" s="24">
        <v>0</v>
      </c>
      <c r="Z89" s="25" t="s">
        <v>194</v>
      </c>
      <c r="AA89" s="26" t="s">
        <v>195</v>
      </c>
      <c r="AB89" s="27"/>
      <c r="AC89" s="27"/>
      <c r="AD89" s="28"/>
      <c r="AE89" s="29" t="s">
        <v>240</v>
      </c>
      <c r="AF89" s="30" t="s">
        <v>189</v>
      </c>
      <c r="AG89" s="31" t="s">
        <v>48</v>
      </c>
      <c r="AH89" s="31" t="s">
        <v>49</v>
      </c>
    </row>
    <row r="90" spans="1:34" ht="24.75" customHeight="1" x14ac:dyDescent="0.15">
      <c r="A90" s="4">
        <v>41</v>
      </c>
      <c r="B90" s="5" t="s">
        <v>35</v>
      </c>
      <c r="C90" s="83" t="s">
        <v>252</v>
      </c>
      <c r="D90" s="32"/>
      <c r="E90" s="33" t="s">
        <v>253</v>
      </c>
      <c r="F90" s="9"/>
      <c r="G90" s="10" t="s">
        <v>238</v>
      </c>
      <c r="H90" s="11" t="s">
        <v>239</v>
      </c>
      <c r="I90" s="12" t="s">
        <v>84</v>
      </c>
      <c r="J90" s="7"/>
      <c r="K90" s="13"/>
      <c r="L90" s="14"/>
      <c r="M90" s="15">
        <v>17</v>
      </c>
      <c r="N90" s="16">
        <v>245</v>
      </c>
      <c r="O90" s="17">
        <f t="shared" si="27"/>
        <v>735</v>
      </c>
      <c r="P90" s="18">
        <f t="shared" si="19"/>
        <v>110.25</v>
      </c>
      <c r="Q90" s="19">
        <f t="shared" si="28"/>
        <v>845.25</v>
      </c>
      <c r="R90" s="80">
        <f t="shared" si="20"/>
        <v>32413.5</v>
      </c>
      <c r="S90" s="21">
        <v>4</v>
      </c>
      <c r="T90" s="22">
        <v>6</v>
      </c>
      <c r="U90" s="22">
        <v>4</v>
      </c>
      <c r="V90" s="22">
        <f t="shared" si="29"/>
        <v>10</v>
      </c>
      <c r="W90" s="24" t="s">
        <v>133</v>
      </c>
      <c r="X90" s="24">
        <v>0</v>
      </c>
      <c r="Y90" s="24">
        <v>0</v>
      </c>
      <c r="Z90" s="25" t="s">
        <v>194</v>
      </c>
      <c r="AA90" s="26" t="s">
        <v>195</v>
      </c>
      <c r="AB90" s="27"/>
      <c r="AC90" s="27"/>
      <c r="AD90" s="28"/>
      <c r="AE90" s="29" t="s">
        <v>240</v>
      </c>
      <c r="AF90" s="30" t="s">
        <v>189</v>
      </c>
      <c r="AG90" s="31" t="s">
        <v>48</v>
      </c>
      <c r="AH90" s="31" t="s">
        <v>49</v>
      </c>
    </row>
    <row r="91" spans="1:34" ht="24.75" customHeight="1" x14ac:dyDescent="0.15">
      <c r="A91" s="4">
        <v>42</v>
      </c>
      <c r="B91" s="5" t="s">
        <v>35</v>
      </c>
      <c r="C91" s="83" t="s">
        <v>254</v>
      </c>
      <c r="D91" s="32"/>
      <c r="E91" s="33" t="s">
        <v>255</v>
      </c>
      <c r="F91" s="9"/>
      <c r="G91" s="10" t="s">
        <v>238</v>
      </c>
      <c r="H91" s="11" t="s">
        <v>239</v>
      </c>
      <c r="I91" s="12" t="s">
        <v>84</v>
      </c>
      <c r="J91" s="7"/>
      <c r="K91" s="13"/>
      <c r="L91" s="14"/>
      <c r="M91" s="15">
        <v>31</v>
      </c>
      <c r="N91" s="16">
        <v>728</v>
      </c>
      <c r="O91" s="17">
        <f t="shared" si="27"/>
        <v>2184</v>
      </c>
      <c r="P91" s="18">
        <f t="shared" si="19"/>
        <v>327.59999999999997</v>
      </c>
      <c r="Q91" s="19">
        <f t="shared" si="28"/>
        <v>2511.6</v>
      </c>
      <c r="R91" s="80">
        <f t="shared" si="20"/>
        <v>96314.4</v>
      </c>
      <c r="S91" s="21">
        <v>8</v>
      </c>
      <c r="T91" s="22">
        <v>14</v>
      </c>
      <c r="U91" s="22">
        <v>15</v>
      </c>
      <c r="V91" s="22">
        <f t="shared" si="29"/>
        <v>29</v>
      </c>
      <c r="W91" s="24" t="s">
        <v>133</v>
      </c>
      <c r="X91" s="24">
        <v>0</v>
      </c>
      <c r="Y91" s="24">
        <v>0</v>
      </c>
      <c r="Z91" s="25" t="s">
        <v>194</v>
      </c>
      <c r="AA91" s="26" t="s">
        <v>195</v>
      </c>
      <c r="AB91" s="27"/>
      <c r="AC91" s="27"/>
      <c r="AD91" s="28"/>
      <c r="AE91" s="29" t="s">
        <v>240</v>
      </c>
      <c r="AF91" s="30" t="s">
        <v>189</v>
      </c>
      <c r="AG91" s="31" t="s">
        <v>48</v>
      </c>
      <c r="AH91" s="31" t="s">
        <v>49</v>
      </c>
    </row>
    <row r="92" spans="1:34" ht="24.75" customHeight="1" x14ac:dyDescent="0.15">
      <c r="A92" s="4">
        <v>43</v>
      </c>
      <c r="B92" s="5" t="s">
        <v>35</v>
      </c>
      <c r="C92" s="83" t="s">
        <v>257</v>
      </c>
      <c r="D92" s="32"/>
      <c r="E92" s="33" t="s">
        <v>258</v>
      </c>
      <c r="F92" s="9"/>
      <c r="G92" s="10" t="s">
        <v>238</v>
      </c>
      <c r="H92" s="11" t="s">
        <v>239</v>
      </c>
      <c r="I92" s="12" t="s">
        <v>84</v>
      </c>
      <c r="J92" s="7"/>
      <c r="K92" s="13"/>
      <c r="L92" s="14"/>
      <c r="M92" s="15">
        <v>31</v>
      </c>
      <c r="N92" s="16">
        <v>728</v>
      </c>
      <c r="O92" s="17">
        <f t="shared" si="27"/>
        <v>2184</v>
      </c>
      <c r="P92" s="18">
        <f t="shared" si="19"/>
        <v>327.59999999999997</v>
      </c>
      <c r="Q92" s="19">
        <f t="shared" si="28"/>
        <v>2511.6</v>
      </c>
      <c r="R92" s="80">
        <f t="shared" si="20"/>
        <v>96314.4</v>
      </c>
      <c r="S92" s="21">
        <v>8</v>
      </c>
      <c r="T92" s="22">
        <v>14</v>
      </c>
      <c r="U92" s="22">
        <v>15</v>
      </c>
      <c r="V92" s="22">
        <f t="shared" si="29"/>
        <v>29</v>
      </c>
      <c r="W92" s="24" t="s">
        <v>133</v>
      </c>
      <c r="X92" s="24">
        <v>0</v>
      </c>
      <c r="Y92" s="24">
        <v>0</v>
      </c>
      <c r="Z92" s="25" t="s">
        <v>194</v>
      </c>
      <c r="AA92" s="26" t="s">
        <v>195</v>
      </c>
      <c r="AB92" s="27"/>
      <c r="AC92" s="27"/>
      <c r="AD92" s="28"/>
      <c r="AE92" s="42" t="s">
        <v>279</v>
      </c>
      <c r="AF92" s="55"/>
      <c r="AG92" s="38" t="s">
        <v>48</v>
      </c>
      <c r="AH92" s="38" t="s">
        <v>48</v>
      </c>
    </row>
    <row r="93" spans="1:34" ht="24.75" customHeight="1" x14ac:dyDescent="0.15">
      <c r="A93" s="4">
        <v>44</v>
      </c>
      <c r="B93" s="5" t="s">
        <v>35</v>
      </c>
      <c r="C93" s="83" t="s">
        <v>259</v>
      </c>
      <c r="D93" s="32"/>
      <c r="E93" s="33" t="s">
        <v>260</v>
      </c>
      <c r="F93" s="9"/>
      <c r="G93" s="10" t="s">
        <v>261</v>
      </c>
      <c r="H93" s="11" t="s">
        <v>262</v>
      </c>
      <c r="I93" s="12" t="s">
        <v>84</v>
      </c>
      <c r="J93" s="7"/>
      <c r="K93" s="13"/>
      <c r="L93" s="14"/>
      <c r="M93" s="15">
        <v>22</v>
      </c>
      <c r="N93" s="16">
        <v>340</v>
      </c>
      <c r="O93" s="17">
        <f t="shared" si="27"/>
        <v>1020</v>
      </c>
      <c r="P93" s="18">
        <f t="shared" si="19"/>
        <v>153</v>
      </c>
      <c r="Q93" s="19">
        <f t="shared" si="28"/>
        <v>1173</v>
      </c>
      <c r="R93" s="80">
        <f t="shared" si="20"/>
        <v>44982</v>
      </c>
      <c r="S93" s="21">
        <v>5</v>
      </c>
      <c r="T93" s="22">
        <v>8</v>
      </c>
      <c r="U93" s="22">
        <v>7</v>
      </c>
      <c r="V93" s="22">
        <f t="shared" si="29"/>
        <v>15</v>
      </c>
      <c r="W93" s="24" t="s">
        <v>133</v>
      </c>
      <c r="X93" s="24">
        <v>0</v>
      </c>
      <c r="Y93" s="24">
        <v>0</v>
      </c>
      <c r="Z93" s="25" t="s">
        <v>194</v>
      </c>
      <c r="AA93" s="26" t="s">
        <v>195</v>
      </c>
      <c r="AB93" s="27"/>
      <c r="AC93" s="27"/>
      <c r="AD93" s="28"/>
      <c r="AE93" s="42" t="s">
        <v>279</v>
      </c>
      <c r="AF93" s="55"/>
      <c r="AG93" s="38" t="s">
        <v>48</v>
      </c>
      <c r="AH93" s="38" t="s">
        <v>48</v>
      </c>
    </row>
    <row r="94" spans="1:34" ht="24.75" customHeight="1" x14ac:dyDescent="0.15">
      <c r="A94" s="4">
        <v>45</v>
      </c>
      <c r="B94" s="5" t="s">
        <v>35</v>
      </c>
      <c r="C94" s="83" t="s">
        <v>263</v>
      </c>
      <c r="D94" s="32"/>
      <c r="E94" s="33" t="s">
        <v>264</v>
      </c>
      <c r="F94" s="9"/>
      <c r="G94" s="10" t="s">
        <v>261</v>
      </c>
      <c r="H94" s="11" t="s">
        <v>262</v>
      </c>
      <c r="I94" s="12" t="s">
        <v>84</v>
      </c>
      <c r="J94" s="7"/>
      <c r="K94" s="13"/>
      <c r="L94" s="14"/>
      <c r="M94" s="15">
        <v>22</v>
      </c>
      <c r="N94" s="16">
        <v>340</v>
      </c>
      <c r="O94" s="17">
        <f t="shared" si="27"/>
        <v>1020</v>
      </c>
      <c r="P94" s="18">
        <f t="shared" si="19"/>
        <v>153</v>
      </c>
      <c r="Q94" s="19">
        <f t="shared" si="28"/>
        <v>1173</v>
      </c>
      <c r="R94" s="80">
        <f t="shared" si="20"/>
        <v>44982</v>
      </c>
      <c r="S94" s="21">
        <v>5</v>
      </c>
      <c r="T94" s="22">
        <v>8</v>
      </c>
      <c r="U94" s="22">
        <v>7</v>
      </c>
      <c r="V94" s="22">
        <f t="shared" si="29"/>
        <v>15</v>
      </c>
      <c r="W94" s="24" t="s">
        <v>133</v>
      </c>
      <c r="X94" s="24">
        <v>0</v>
      </c>
      <c r="Y94" s="24">
        <v>0</v>
      </c>
      <c r="Z94" s="25" t="s">
        <v>194</v>
      </c>
      <c r="AA94" s="26" t="s">
        <v>195</v>
      </c>
      <c r="AB94" s="27"/>
      <c r="AC94" s="27"/>
      <c r="AD94" s="28"/>
      <c r="AE94" s="42" t="s">
        <v>279</v>
      </c>
      <c r="AF94" s="55"/>
      <c r="AG94" s="38" t="s">
        <v>49</v>
      </c>
      <c r="AH94" s="38" t="s">
        <v>48</v>
      </c>
    </row>
    <row r="95" spans="1:34" ht="24.75" customHeight="1" x14ac:dyDescent="0.15">
      <c r="A95" s="4">
        <v>46</v>
      </c>
      <c r="B95" s="5" t="s">
        <v>35</v>
      </c>
      <c r="C95" s="83" t="s">
        <v>265</v>
      </c>
      <c r="D95" s="32"/>
      <c r="E95" s="33" t="s">
        <v>266</v>
      </c>
      <c r="F95" s="9"/>
      <c r="G95" s="10" t="s">
        <v>267</v>
      </c>
      <c r="H95" s="11" t="s">
        <v>268</v>
      </c>
      <c r="I95" s="12" t="s">
        <v>84</v>
      </c>
      <c r="J95" s="7"/>
      <c r="K95" s="13"/>
      <c r="L95" s="14"/>
      <c r="M95" s="15">
        <v>17</v>
      </c>
      <c r="N95" s="16">
        <v>152</v>
      </c>
      <c r="O95" s="17">
        <f t="shared" si="27"/>
        <v>456</v>
      </c>
      <c r="P95" s="18">
        <f t="shared" si="19"/>
        <v>68.399999999999991</v>
      </c>
      <c r="Q95" s="19">
        <f t="shared" si="28"/>
        <v>524.4</v>
      </c>
      <c r="R95" s="80">
        <f t="shared" si="20"/>
        <v>20109.599999999999</v>
      </c>
      <c r="S95" s="21">
        <v>3</v>
      </c>
      <c r="T95" s="22">
        <v>4</v>
      </c>
      <c r="U95" s="22">
        <v>6</v>
      </c>
      <c r="V95" s="22">
        <f t="shared" si="29"/>
        <v>10</v>
      </c>
      <c r="W95" s="24" t="s">
        <v>133</v>
      </c>
      <c r="X95" s="24">
        <v>0</v>
      </c>
      <c r="Y95" s="24">
        <v>0</v>
      </c>
      <c r="Z95" s="25" t="s">
        <v>194</v>
      </c>
      <c r="AA95" s="26" t="s">
        <v>195</v>
      </c>
      <c r="AB95" s="27"/>
      <c r="AC95" s="27"/>
      <c r="AD95" s="28"/>
      <c r="AE95" s="42" t="s">
        <v>279</v>
      </c>
      <c r="AF95" s="55"/>
      <c r="AG95" s="38" t="s">
        <v>49</v>
      </c>
      <c r="AH95" s="38" t="s">
        <v>48</v>
      </c>
    </row>
    <row r="96" spans="1:34" ht="24.75" customHeight="1" x14ac:dyDescent="0.15">
      <c r="A96" s="4">
        <v>47</v>
      </c>
      <c r="B96" s="5" t="s">
        <v>35</v>
      </c>
      <c r="C96" s="83" t="s">
        <v>269</v>
      </c>
      <c r="D96" s="32"/>
      <c r="E96" s="33" t="s">
        <v>270</v>
      </c>
      <c r="F96" s="9"/>
      <c r="G96" s="10" t="s">
        <v>267</v>
      </c>
      <c r="H96" s="11" t="s">
        <v>268</v>
      </c>
      <c r="I96" s="12" t="s">
        <v>84</v>
      </c>
      <c r="J96" s="7"/>
      <c r="K96" s="13"/>
      <c r="L96" s="14"/>
      <c r="M96" s="15">
        <v>21</v>
      </c>
      <c r="N96" s="16">
        <v>189</v>
      </c>
      <c r="O96" s="17">
        <f t="shared" si="27"/>
        <v>567</v>
      </c>
      <c r="P96" s="18">
        <f t="shared" si="19"/>
        <v>85.05</v>
      </c>
      <c r="Q96" s="19">
        <f t="shared" si="28"/>
        <v>652.04999999999995</v>
      </c>
      <c r="R96" s="80">
        <f t="shared" si="20"/>
        <v>25004.7</v>
      </c>
      <c r="S96" s="21">
        <v>4</v>
      </c>
      <c r="T96" s="22">
        <v>6</v>
      </c>
      <c r="U96" s="22">
        <v>6</v>
      </c>
      <c r="V96" s="22">
        <f t="shared" si="29"/>
        <v>12</v>
      </c>
      <c r="W96" s="24" t="s">
        <v>133</v>
      </c>
      <c r="X96" s="24">
        <v>0</v>
      </c>
      <c r="Y96" s="24">
        <v>0</v>
      </c>
      <c r="Z96" s="25" t="s">
        <v>194</v>
      </c>
      <c r="AA96" s="26" t="s">
        <v>195</v>
      </c>
      <c r="AB96" s="27"/>
      <c r="AC96" s="27"/>
      <c r="AD96" s="28"/>
      <c r="AE96" s="42" t="s">
        <v>279</v>
      </c>
      <c r="AF96" s="55"/>
      <c r="AG96" s="38" t="s">
        <v>49</v>
      </c>
      <c r="AH96" s="38" t="s">
        <v>48</v>
      </c>
    </row>
    <row r="97" spans="1:34" ht="24.75" customHeight="1" x14ac:dyDescent="0.15">
      <c r="A97" s="4">
        <v>48</v>
      </c>
      <c r="B97" s="5" t="s">
        <v>35</v>
      </c>
      <c r="C97" s="83" t="s">
        <v>271</v>
      </c>
      <c r="D97" s="32"/>
      <c r="E97" s="33" t="s">
        <v>272</v>
      </c>
      <c r="F97" s="10"/>
      <c r="G97" s="10" t="s">
        <v>267</v>
      </c>
      <c r="H97" s="11" t="s">
        <v>268</v>
      </c>
      <c r="I97" s="12" t="s">
        <v>84</v>
      </c>
      <c r="J97" s="7"/>
      <c r="K97" s="13"/>
      <c r="L97" s="14"/>
      <c r="M97" s="14">
        <v>19</v>
      </c>
      <c r="N97" s="16">
        <v>114</v>
      </c>
      <c r="O97" s="17">
        <f t="shared" si="27"/>
        <v>342</v>
      </c>
      <c r="P97" s="18">
        <f t="shared" si="19"/>
        <v>51.3</v>
      </c>
      <c r="Q97" s="19">
        <f t="shared" si="28"/>
        <v>393.3</v>
      </c>
      <c r="R97" s="80">
        <f t="shared" si="20"/>
        <v>15082.2</v>
      </c>
      <c r="S97" s="14">
        <v>3</v>
      </c>
      <c r="T97" s="22">
        <v>4</v>
      </c>
      <c r="U97" s="22">
        <v>6</v>
      </c>
      <c r="V97" s="22">
        <f t="shared" si="29"/>
        <v>10</v>
      </c>
      <c r="W97" s="24" t="s">
        <v>133</v>
      </c>
      <c r="X97" s="24">
        <v>0</v>
      </c>
      <c r="Y97" s="24">
        <v>0</v>
      </c>
      <c r="Z97" s="25" t="s">
        <v>194</v>
      </c>
      <c r="AA97" s="25" t="s">
        <v>195</v>
      </c>
      <c r="AB97" s="27"/>
      <c r="AC97" s="27"/>
      <c r="AD97" s="28"/>
      <c r="AE97" s="29" t="s">
        <v>256</v>
      </c>
      <c r="AF97" s="30" t="s">
        <v>189</v>
      </c>
      <c r="AG97" s="31" t="s">
        <v>48</v>
      </c>
      <c r="AH97" s="31" t="s">
        <v>48</v>
      </c>
    </row>
    <row r="98" spans="1:34" ht="24.75" customHeight="1" x14ac:dyDescent="0.15">
      <c r="A98" s="4">
        <v>49</v>
      </c>
      <c r="B98" s="5" t="s">
        <v>35</v>
      </c>
      <c r="C98" s="83" t="s">
        <v>273</v>
      </c>
      <c r="D98" s="32"/>
      <c r="E98" s="33" t="s">
        <v>274</v>
      </c>
      <c r="F98" s="10"/>
      <c r="G98" s="10" t="s">
        <v>267</v>
      </c>
      <c r="H98" s="11" t="s">
        <v>268</v>
      </c>
      <c r="I98" s="12" t="s">
        <v>84</v>
      </c>
      <c r="J98" s="7"/>
      <c r="K98" s="13"/>
      <c r="L98" s="14"/>
      <c r="M98" s="14">
        <v>17</v>
      </c>
      <c r="N98" s="16">
        <v>136</v>
      </c>
      <c r="O98" s="17">
        <f t="shared" si="27"/>
        <v>408</v>
      </c>
      <c r="P98" s="18">
        <f t="shared" si="19"/>
        <v>61.199999999999996</v>
      </c>
      <c r="Q98" s="19">
        <f t="shared" si="28"/>
        <v>469.2</v>
      </c>
      <c r="R98" s="80">
        <f t="shared" si="20"/>
        <v>17992.8</v>
      </c>
      <c r="S98" s="14">
        <v>3</v>
      </c>
      <c r="T98" s="22">
        <v>4</v>
      </c>
      <c r="U98" s="22">
        <v>6</v>
      </c>
      <c r="V98" s="22">
        <f t="shared" si="29"/>
        <v>10</v>
      </c>
      <c r="W98" s="24" t="s">
        <v>133</v>
      </c>
      <c r="X98" s="24">
        <v>0</v>
      </c>
      <c r="Y98" s="24">
        <v>0</v>
      </c>
      <c r="Z98" s="25" t="s">
        <v>194</v>
      </c>
      <c r="AA98" s="25" t="s">
        <v>195</v>
      </c>
      <c r="AB98" s="27"/>
      <c r="AC98" s="27"/>
      <c r="AD98" s="28"/>
      <c r="AE98" s="29" t="s">
        <v>256</v>
      </c>
      <c r="AF98" s="30" t="s">
        <v>189</v>
      </c>
      <c r="AG98" s="31" t="s">
        <v>48</v>
      </c>
      <c r="AH98" s="31" t="s">
        <v>48</v>
      </c>
    </row>
    <row r="99" spans="1:34" ht="24.75" customHeight="1" x14ac:dyDescent="0.15">
      <c r="A99" s="4">
        <v>50</v>
      </c>
      <c r="B99" s="5" t="s">
        <v>35</v>
      </c>
      <c r="C99" s="83" t="str">
        <f>UPPER(SUBSTITUTE(E99, " ", ""))</f>
        <v>PHOENIXTOWERBLOCKA</v>
      </c>
      <c r="D99" s="32"/>
      <c r="E99" s="33" t="s">
        <v>275</v>
      </c>
      <c r="F99" s="10"/>
      <c r="G99" s="10" t="s">
        <v>276</v>
      </c>
      <c r="H99" s="11" t="s">
        <v>277</v>
      </c>
      <c r="I99" s="12" t="s">
        <v>278</v>
      </c>
      <c r="J99" s="7"/>
      <c r="K99" s="13"/>
      <c r="L99" s="14"/>
      <c r="M99" s="14">
        <v>25</v>
      </c>
      <c r="N99" s="16">
        <v>175</v>
      </c>
      <c r="O99" s="17">
        <f t="shared" si="27"/>
        <v>525</v>
      </c>
      <c r="P99" s="18">
        <f t="shared" si="19"/>
        <v>78.75</v>
      </c>
      <c r="Q99" s="19">
        <f t="shared" si="28"/>
        <v>603.75</v>
      </c>
      <c r="R99" s="80">
        <f t="shared" si="20"/>
        <v>23152.5</v>
      </c>
      <c r="S99" s="14">
        <v>3</v>
      </c>
      <c r="T99" s="22">
        <v>2</v>
      </c>
      <c r="U99" s="22">
        <v>6</v>
      </c>
      <c r="V99" s="22">
        <f t="shared" si="29"/>
        <v>8</v>
      </c>
      <c r="W99" s="24" t="s">
        <v>133</v>
      </c>
      <c r="X99" s="24">
        <v>0</v>
      </c>
      <c r="Y99" s="24">
        <v>0</v>
      </c>
      <c r="Z99" s="25" t="s">
        <v>194</v>
      </c>
      <c r="AA99" s="25" t="s">
        <v>195</v>
      </c>
      <c r="AB99" s="27"/>
      <c r="AC99" s="27"/>
      <c r="AD99" s="28"/>
      <c r="AE99" s="29" t="s">
        <v>256</v>
      </c>
      <c r="AF99" s="30" t="s">
        <v>189</v>
      </c>
      <c r="AG99" s="31" t="s">
        <v>48</v>
      </c>
      <c r="AH99" s="31" t="s">
        <v>48</v>
      </c>
    </row>
    <row r="100" spans="1:34" ht="24.75" customHeight="1" x14ac:dyDescent="0.15">
      <c r="A100" s="4">
        <v>51</v>
      </c>
      <c r="B100" s="5" t="s">
        <v>35</v>
      </c>
      <c r="C100" s="83" t="str">
        <f>UPPER(SUBSTITUTE(E100, " ", ""))</f>
        <v>PHOENIXTOWERBLOCKB</v>
      </c>
      <c r="D100" s="32"/>
      <c r="E100" s="33" t="s">
        <v>280</v>
      </c>
      <c r="F100" s="10"/>
      <c r="G100" s="10" t="s">
        <v>276</v>
      </c>
      <c r="H100" s="11" t="s">
        <v>277</v>
      </c>
      <c r="I100" s="12" t="s">
        <v>278</v>
      </c>
      <c r="J100" s="7"/>
      <c r="K100" s="13"/>
      <c r="L100" s="14"/>
      <c r="M100" s="14">
        <v>25</v>
      </c>
      <c r="N100" s="16">
        <v>175</v>
      </c>
      <c r="O100" s="17">
        <f t="shared" si="27"/>
        <v>525</v>
      </c>
      <c r="P100" s="18">
        <f t="shared" si="19"/>
        <v>78.75</v>
      </c>
      <c r="Q100" s="19">
        <f t="shared" si="28"/>
        <v>603.75</v>
      </c>
      <c r="R100" s="80">
        <f t="shared" si="20"/>
        <v>23152.5</v>
      </c>
      <c r="S100" s="14">
        <v>3</v>
      </c>
      <c r="T100" s="22">
        <v>2</v>
      </c>
      <c r="U100" s="22">
        <v>6</v>
      </c>
      <c r="V100" s="22">
        <f t="shared" si="29"/>
        <v>8</v>
      </c>
      <c r="W100" s="24" t="s">
        <v>133</v>
      </c>
      <c r="X100" s="24">
        <v>0</v>
      </c>
      <c r="Y100" s="24">
        <v>0</v>
      </c>
      <c r="Z100" s="25" t="s">
        <v>194</v>
      </c>
      <c r="AA100" s="25" t="s">
        <v>195</v>
      </c>
      <c r="AB100" s="27"/>
      <c r="AC100" s="27"/>
      <c r="AD100" s="28"/>
      <c r="AE100" s="29" t="s">
        <v>256</v>
      </c>
      <c r="AF100" s="30" t="s">
        <v>189</v>
      </c>
      <c r="AG100" s="31" t="s">
        <v>48</v>
      </c>
      <c r="AH100" s="31" t="s">
        <v>48</v>
      </c>
    </row>
    <row r="101" spans="1:34" ht="24.75" customHeight="1" x14ac:dyDescent="0.15">
      <c r="A101" s="4">
        <v>52</v>
      </c>
      <c r="B101" s="34" t="s">
        <v>35</v>
      </c>
      <c r="C101" s="84" t="s">
        <v>281</v>
      </c>
      <c r="D101" s="78"/>
      <c r="E101" s="79" t="s">
        <v>282</v>
      </c>
      <c r="F101" s="10"/>
      <c r="G101" s="10" t="s">
        <v>283</v>
      </c>
      <c r="H101" s="11" t="s">
        <v>284</v>
      </c>
      <c r="I101" s="12" t="s">
        <v>278</v>
      </c>
      <c r="J101" s="7"/>
      <c r="K101" s="13"/>
      <c r="L101" s="14"/>
      <c r="M101" s="14">
        <v>31</v>
      </c>
      <c r="N101" s="16">
        <v>189</v>
      </c>
      <c r="O101" s="17">
        <f t="shared" si="27"/>
        <v>567</v>
      </c>
      <c r="P101" s="18">
        <f t="shared" si="19"/>
        <v>85.05</v>
      </c>
      <c r="Q101" s="19">
        <f t="shared" si="28"/>
        <v>652.04999999999995</v>
      </c>
      <c r="R101" s="80">
        <f t="shared" si="20"/>
        <v>25004.7</v>
      </c>
      <c r="S101" s="14">
        <v>4</v>
      </c>
      <c r="T101" s="22">
        <v>6</v>
      </c>
      <c r="U101" s="22">
        <v>9</v>
      </c>
      <c r="V101" s="22">
        <f t="shared" si="29"/>
        <v>15</v>
      </c>
      <c r="W101" s="24" t="s">
        <v>133</v>
      </c>
      <c r="X101" s="24">
        <v>4</v>
      </c>
      <c r="Y101" s="24">
        <v>12</v>
      </c>
      <c r="Z101" s="25" t="s">
        <v>194</v>
      </c>
      <c r="AA101" s="25" t="s">
        <v>195</v>
      </c>
      <c r="AB101" s="27"/>
      <c r="AC101" s="27"/>
      <c r="AD101" s="28"/>
      <c r="AE101" s="29" t="s">
        <v>256</v>
      </c>
      <c r="AF101" s="30" t="s">
        <v>189</v>
      </c>
      <c r="AG101" s="31" t="s">
        <v>48</v>
      </c>
      <c r="AH101" s="31" t="s">
        <v>48</v>
      </c>
    </row>
    <row r="102" spans="1:34" ht="24.75" customHeight="1" x14ac:dyDescent="0.15">
      <c r="A102" s="4">
        <v>53</v>
      </c>
      <c r="B102" s="34" t="s">
        <v>35</v>
      </c>
      <c r="C102" s="84" t="s">
        <v>285</v>
      </c>
      <c r="D102" s="78"/>
      <c r="E102" s="79" t="s">
        <v>286</v>
      </c>
      <c r="F102" s="10"/>
      <c r="G102" s="10" t="s">
        <v>283</v>
      </c>
      <c r="H102" s="11" t="s">
        <v>284</v>
      </c>
      <c r="I102" s="12" t="s">
        <v>278</v>
      </c>
      <c r="J102" s="7"/>
      <c r="K102" s="13"/>
      <c r="L102" s="14"/>
      <c r="M102" s="14">
        <v>31</v>
      </c>
      <c r="N102" s="16">
        <v>189</v>
      </c>
      <c r="O102" s="17">
        <f t="shared" si="27"/>
        <v>567</v>
      </c>
      <c r="P102" s="18">
        <f t="shared" si="19"/>
        <v>85.05</v>
      </c>
      <c r="Q102" s="19">
        <f t="shared" si="28"/>
        <v>652.04999999999995</v>
      </c>
      <c r="R102" s="80">
        <f t="shared" si="20"/>
        <v>25004.7</v>
      </c>
      <c r="S102" s="14">
        <v>3</v>
      </c>
      <c r="T102" s="22">
        <v>4</v>
      </c>
      <c r="U102" s="22">
        <v>6</v>
      </c>
      <c r="V102" s="22">
        <f t="shared" si="29"/>
        <v>10</v>
      </c>
      <c r="W102" s="24" t="s">
        <v>133</v>
      </c>
      <c r="X102" s="24">
        <v>3</v>
      </c>
      <c r="Y102" s="24">
        <v>9</v>
      </c>
      <c r="Z102" s="25" t="s">
        <v>194</v>
      </c>
      <c r="AA102" s="25" t="s">
        <v>195</v>
      </c>
      <c r="AB102" s="27"/>
      <c r="AC102" s="27"/>
      <c r="AD102" s="28"/>
      <c r="AE102" s="29" t="s">
        <v>256</v>
      </c>
      <c r="AF102" s="30" t="s">
        <v>189</v>
      </c>
      <c r="AG102" s="31" t="s">
        <v>48</v>
      </c>
      <c r="AH102" s="31" t="s">
        <v>48</v>
      </c>
    </row>
    <row r="103" spans="1:34" ht="24.5" customHeight="1" x14ac:dyDescent="0.15">
      <c r="A103" s="4">
        <v>54</v>
      </c>
      <c r="B103" s="34" t="s">
        <v>35</v>
      </c>
      <c r="C103" s="84" t="s">
        <v>287</v>
      </c>
      <c r="D103" s="78"/>
      <c r="E103" s="79" t="s">
        <v>288</v>
      </c>
      <c r="F103" s="10"/>
      <c r="G103" s="10" t="s">
        <v>283</v>
      </c>
      <c r="H103" s="11" t="s">
        <v>284</v>
      </c>
      <c r="I103" s="12" t="s">
        <v>278</v>
      </c>
      <c r="J103" s="7"/>
      <c r="K103" s="13"/>
      <c r="L103" s="14"/>
      <c r="M103" s="14">
        <v>31</v>
      </c>
      <c r="N103" s="16">
        <v>189</v>
      </c>
      <c r="O103" s="17">
        <f t="shared" si="27"/>
        <v>567</v>
      </c>
      <c r="P103" s="18">
        <f t="shared" si="19"/>
        <v>85.05</v>
      </c>
      <c r="Q103" s="19">
        <f t="shared" si="28"/>
        <v>652.04999999999995</v>
      </c>
      <c r="R103" s="80">
        <f t="shared" si="20"/>
        <v>25004.7</v>
      </c>
      <c r="S103" s="14">
        <v>2</v>
      </c>
      <c r="T103" s="22">
        <v>4</v>
      </c>
      <c r="U103" s="22">
        <v>3</v>
      </c>
      <c r="V103" s="22">
        <f t="shared" si="29"/>
        <v>7</v>
      </c>
      <c r="W103" s="24" t="s">
        <v>133</v>
      </c>
      <c r="X103" s="24">
        <v>2</v>
      </c>
      <c r="Y103" s="24">
        <v>6</v>
      </c>
      <c r="Z103" s="25" t="s">
        <v>194</v>
      </c>
      <c r="AA103" s="25" t="s">
        <v>195</v>
      </c>
      <c r="AB103" s="27"/>
      <c r="AC103" s="27"/>
      <c r="AD103" s="28"/>
      <c r="AE103" s="29" t="s">
        <v>256</v>
      </c>
      <c r="AF103" s="30" t="s">
        <v>189</v>
      </c>
      <c r="AG103" s="31" t="s">
        <v>48</v>
      </c>
      <c r="AH103" s="31" t="s">
        <v>48</v>
      </c>
    </row>
    <row r="104" spans="1:34" ht="24.75" customHeight="1" x14ac:dyDescent="0.15">
      <c r="A104" s="4">
        <v>55</v>
      </c>
      <c r="B104" s="5" t="s">
        <v>35</v>
      </c>
      <c r="C104" s="83" t="s">
        <v>305</v>
      </c>
      <c r="D104" s="32"/>
      <c r="E104" s="33" t="s">
        <v>306</v>
      </c>
      <c r="F104" s="10"/>
      <c r="G104" s="10" t="s">
        <v>307</v>
      </c>
      <c r="H104" s="11" t="s">
        <v>308</v>
      </c>
      <c r="I104" s="12" t="s">
        <v>84</v>
      </c>
      <c r="J104" s="7"/>
      <c r="K104" s="13"/>
      <c r="L104" s="14"/>
      <c r="M104" s="14">
        <v>25</v>
      </c>
      <c r="N104" s="16">
        <v>256</v>
      </c>
      <c r="O104" s="17">
        <f t="shared" ref="O104:O115" si="30">N104*3</f>
        <v>768</v>
      </c>
      <c r="P104" s="18">
        <f t="shared" ref="P104:P115" si="31">O104*0.15</f>
        <v>115.19999999999999</v>
      </c>
      <c r="Q104" s="19">
        <f t="shared" ref="Q104:Q115" si="32">SUM(O104:P104)</f>
        <v>883.2</v>
      </c>
      <c r="R104" s="80">
        <f t="shared" ref="R104:R115" si="33">(O104*7*6)+(P104*7*2)</f>
        <v>33868.800000000003</v>
      </c>
      <c r="S104" s="14">
        <v>4</v>
      </c>
      <c r="T104" s="22">
        <v>6</v>
      </c>
      <c r="U104" s="22">
        <v>9</v>
      </c>
      <c r="V104" s="22">
        <f t="shared" ref="V104:V115" si="34">SUM(T104:U104)</f>
        <v>15</v>
      </c>
      <c r="W104" s="24" t="s">
        <v>133</v>
      </c>
      <c r="X104" s="24">
        <v>0</v>
      </c>
      <c r="Y104" s="24">
        <v>0</v>
      </c>
      <c r="Z104" s="25" t="s">
        <v>309</v>
      </c>
      <c r="AA104" s="25" t="s">
        <v>195</v>
      </c>
      <c r="AB104" s="27"/>
      <c r="AC104" s="27"/>
      <c r="AD104" s="28"/>
      <c r="AE104" s="29" t="s">
        <v>240</v>
      </c>
      <c r="AF104" s="55"/>
      <c r="AG104" s="31" t="s">
        <v>48</v>
      </c>
      <c r="AH104" s="31" t="s">
        <v>48</v>
      </c>
    </row>
    <row r="105" spans="1:34" ht="24.75" customHeight="1" x14ac:dyDescent="0.15">
      <c r="A105" s="4">
        <v>56</v>
      </c>
      <c r="B105" s="5" t="s">
        <v>35</v>
      </c>
      <c r="C105" s="83" t="s">
        <v>310</v>
      </c>
      <c r="D105" s="32"/>
      <c r="E105" s="33" t="s">
        <v>311</v>
      </c>
      <c r="F105" s="10"/>
      <c r="G105" s="10" t="s">
        <v>307</v>
      </c>
      <c r="H105" s="11" t="s">
        <v>308</v>
      </c>
      <c r="I105" s="12" t="s">
        <v>84</v>
      </c>
      <c r="J105" s="7"/>
      <c r="K105" s="13"/>
      <c r="L105" s="14"/>
      <c r="M105" s="14">
        <v>25</v>
      </c>
      <c r="N105" s="16">
        <v>256</v>
      </c>
      <c r="O105" s="17">
        <f t="shared" si="30"/>
        <v>768</v>
      </c>
      <c r="P105" s="18">
        <f t="shared" si="31"/>
        <v>115.19999999999999</v>
      </c>
      <c r="Q105" s="19">
        <f t="shared" si="32"/>
        <v>883.2</v>
      </c>
      <c r="R105" s="80">
        <f t="shared" si="33"/>
        <v>33868.800000000003</v>
      </c>
      <c r="S105" s="14">
        <v>4</v>
      </c>
      <c r="T105" s="22">
        <v>6</v>
      </c>
      <c r="U105" s="22">
        <v>9</v>
      </c>
      <c r="V105" s="22">
        <f t="shared" si="34"/>
        <v>15</v>
      </c>
      <c r="W105" s="24" t="s">
        <v>133</v>
      </c>
      <c r="X105" s="24">
        <v>0</v>
      </c>
      <c r="Y105" s="24">
        <v>0</v>
      </c>
      <c r="Z105" s="25" t="s">
        <v>309</v>
      </c>
      <c r="AA105" s="25" t="s">
        <v>195</v>
      </c>
      <c r="AB105" s="27"/>
      <c r="AC105" s="27"/>
      <c r="AD105" s="28"/>
      <c r="AE105" s="29" t="s">
        <v>240</v>
      </c>
      <c r="AF105" s="55"/>
      <c r="AG105" s="31" t="s">
        <v>48</v>
      </c>
      <c r="AH105" s="31" t="s">
        <v>48</v>
      </c>
    </row>
    <row r="106" spans="1:34" ht="24.75" customHeight="1" x14ac:dyDescent="0.15">
      <c r="A106" s="4">
        <v>57</v>
      </c>
      <c r="B106" s="5" t="s">
        <v>35</v>
      </c>
      <c r="C106" s="83" t="s">
        <v>312</v>
      </c>
      <c r="D106" s="32"/>
      <c r="E106" s="33" t="s">
        <v>313</v>
      </c>
      <c r="F106" s="10"/>
      <c r="G106" s="10" t="s">
        <v>314</v>
      </c>
      <c r="H106" s="11" t="s">
        <v>315</v>
      </c>
      <c r="I106" s="12" t="s">
        <v>84</v>
      </c>
      <c r="J106" s="7"/>
      <c r="K106" s="13"/>
      <c r="L106" s="14"/>
      <c r="M106" s="14">
        <v>25</v>
      </c>
      <c r="N106" s="16">
        <v>204</v>
      </c>
      <c r="O106" s="17">
        <f t="shared" si="30"/>
        <v>612</v>
      </c>
      <c r="P106" s="18">
        <f t="shared" si="31"/>
        <v>91.8</v>
      </c>
      <c r="Q106" s="19">
        <f t="shared" si="32"/>
        <v>703.8</v>
      </c>
      <c r="R106" s="80">
        <f t="shared" si="33"/>
        <v>26989.200000000001</v>
      </c>
      <c r="S106" s="14">
        <v>3</v>
      </c>
      <c r="T106" s="22">
        <v>6</v>
      </c>
      <c r="U106" s="22">
        <v>2</v>
      </c>
      <c r="V106" s="22">
        <f t="shared" si="34"/>
        <v>8</v>
      </c>
      <c r="W106" s="24" t="s">
        <v>133</v>
      </c>
      <c r="X106" s="24">
        <v>0</v>
      </c>
      <c r="Y106" s="24">
        <v>0</v>
      </c>
      <c r="Z106" s="25" t="s">
        <v>194</v>
      </c>
      <c r="AA106" s="25" t="s">
        <v>195</v>
      </c>
      <c r="AB106" s="27"/>
      <c r="AC106" s="27"/>
      <c r="AD106" s="28"/>
      <c r="AE106" s="29" t="s">
        <v>256</v>
      </c>
      <c r="AF106" s="30" t="s">
        <v>189</v>
      </c>
      <c r="AG106" s="31" t="s">
        <v>48</v>
      </c>
      <c r="AH106" s="31" t="s">
        <v>48</v>
      </c>
    </row>
    <row r="107" spans="1:34" ht="24.75" customHeight="1" x14ac:dyDescent="0.15">
      <c r="A107" s="4">
        <v>58</v>
      </c>
      <c r="B107" s="5" t="s">
        <v>35</v>
      </c>
      <c r="C107" s="83" t="s">
        <v>316</v>
      </c>
      <c r="D107" s="32"/>
      <c r="E107" s="33" t="s">
        <v>317</v>
      </c>
      <c r="F107" s="10"/>
      <c r="G107" s="10" t="s">
        <v>314</v>
      </c>
      <c r="H107" s="11" t="s">
        <v>315</v>
      </c>
      <c r="I107" s="12" t="s">
        <v>84</v>
      </c>
      <c r="J107" s="7"/>
      <c r="K107" s="13"/>
      <c r="L107" s="14"/>
      <c r="M107" s="14">
        <v>25</v>
      </c>
      <c r="N107" s="16">
        <v>204</v>
      </c>
      <c r="O107" s="17">
        <f t="shared" si="30"/>
        <v>612</v>
      </c>
      <c r="P107" s="18">
        <f t="shared" si="31"/>
        <v>91.8</v>
      </c>
      <c r="Q107" s="19">
        <f t="shared" si="32"/>
        <v>703.8</v>
      </c>
      <c r="R107" s="80">
        <f t="shared" si="33"/>
        <v>26989.200000000001</v>
      </c>
      <c r="S107" s="14">
        <v>4</v>
      </c>
      <c r="T107" s="22">
        <v>6</v>
      </c>
      <c r="U107" s="22">
        <v>2</v>
      </c>
      <c r="V107" s="22">
        <f t="shared" si="34"/>
        <v>8</v>
      </c>
      <c r="W107" s="24" t="s">
        <v>133</v>
      </c>
      <c r="X107" s="24">
        <v>0</v>
      </c>
      <c r="Y107" s="24">
        <v>0</v>
      </c>
      <c r="Z107" s="25" t="s">
        <v>194</v>
      </c>
      <c r="AA107" s="25" t="s">
        <v>195</v>
      </c>
      <c r="AB107" s="27"/>
      <c r="AC107" s="27"/>
      <c r="AD107" s="28"/>
      <c r="AE107" s="29" t="s">
        <v>256</v>
      </c>
      <c r="AF107" s="30" t="s">
        <v>189</v>
      </c>
      <c r="AG107" s="31" t="s">
        <v>48</v>
      </c>
      <c r="AH107" s="31" t="s">
        <v>48</v>
      </c>
    </row>
    <row r="108" spans="1:34" ht="24.75" customHeight="1" x14ac:dyDescent="0.15">
      <c r="A108" s="4">
        <v>59</v>
      </c>
      <c r="B108" s="5" t="s">
        <v>35</v>
      </c>
      <c r="C108" s="83" t="s">
        <v>318</v>
      </c>
      <c r="D108" s="32"/>
      <c r="E108" s="33" t="s">
        <v>319</v>
      </c>
      <c r="F108" s="10"/>
      <c r="G108" s="10" t="s">
        <v>314</v>
      </c>
      <c r="H108" s="11" t="s">
        <v>315</v>
      </c>
      <c r="I108" s="12" t="s">
        <v>84</v>
      </c>
      <c r="J108" s="7"/>
      <c r="K108" s="13"/>
      <c r="L108" s="14"/>
      <c r="M108" s="14">
        <v>25</v>
      </c>
      <c r="N108" s="16">
        <v>204</v>
      </c>
      <c r="O108" s="17">
        <f t="shared" si="30"/>
        <v>612</v>
      </c>
      <c r="P108" s="18">
        <f t="shared" si="31"/>
        <v>91.8</v>
      </c>
      <c r="Q108" s="19">
        <f t="shared" si="32"/>
        <v>703.8</v>
      </c>
      <c r="R108" s="80">
        <f t="shared" si="33"/>
        <v>26989.200000000001</v>
      </c>
      <c r="S108" s="14">
        <v>3</v>
      </c>
      <c r="T108" s="22">
        <v>6</v>
      </c>
      <c r="U108" s="22">
        <v>2</v>
      </c>
      <c r="V108" s="22">
        <f t="shared" si="34"/>
        <v>8</v>
      </c>
      <c r="W108" s="24" t="s">
        <v>133</v>
      </c>
      <c r="X108" s="24">
        <v>0</v>
      </c>
      <c r="Y108" s="24">
        <v>0</v>
      </c>
      <c r="Z108" s="25" t="s">
        <v>194</v>
      </c>
      <c r="AA108" s="25" t="s">
        <v>195</v>
      </c>
      <c r="AB108" s="27"/>
      <c r="AC108" s="27"/>
      <c r="AD108" s="28"/>
      <c r="AE108" s="29" t="s">
        <v>256</v>
      </c>
      <c r="AF108" s="30" t="s">
        <v>189</v>
      </c>
      <c r="AG108" s="31" t="s">
        <v>48</v>
      </c>
      <c r="AH108" s="31" t="s">
        <v>48</v>
      </c>
    </row>
    <row r="109" spans="1:34" ht="24.75" customHeight="1" x14ac:dyDescent="0.15">
      <c r="A109" s="4">
        <v>60</v>
      </c>
      <c r="B109" s="5" t="s">
        <v>35</v>
      </c>
      <c r="C109" s="83" t="s">
        <v>320</v>
      </c>
      <c r="D109" s="32"/>
      <c r="E109" s="33" t="s">
        <v>321</v>
      </c>
      <c r="F109" s="10"/>
      <c r="G109" s="10" t="s">
        <v>314</v>
      </c>
      <c r="H109" s="11" t="s">
        <v>315</v>
      </c>
      <c r="I109" s="12" t="s">
        <v>84</v>
      </c>
      <c r="J109" s="7"/>
      <c r="K109" s="13"/>
      <c r="L109" s="14"/>
      <c r="M109" s="14">
        <v>25</v>
      </c>
      <c r="N109" s="16">
        <v>204</v>
      </c>
      <c r="O109" s="17">
        <f t="shared" si="30"/>
        <v>612</v>
      </c>
      <c r="P109" s="18">
        <f t="shared" si="31"/>
        <v>91.8</v>
      </c>
      <c r="Q109" s="19">
        <f t="shared" si="32"/>
        <v>703.8</v>
      </c>
      <c r="R109" s="80">
        <f t="shared" si="33"/>
        <v>26989.200000000001</v>
      </c>
      <c r="S109" s="14">
        <v>4</v>
      </c>
      <c r="T109" s="22">
        <v>6</v>
      </c>
      <c r="U109" s="22">
        <v>2</v>
      </c>
      <c r="V109" s="22">
        <f t="shared" si="34"/>
        <v>8</v>
      </c>
      <c r="W109" s="24" t="s">
        <v>133</v>
      </c>
      <c r="X109" s="24">
        <v>0</v>
      </c>
      <c r="Y109" s="24">
        <v>0</v>
      </c>
      <c r="Z109" s="25" t="s">
        <v>194</v>
      </c>
      <c r="AA109" s="25" t="s">
        <v>195</v>
      </c>
      <c r="AB109" s="27"/>
      <c r="AC109" s="27"/>
      <c r="AD109" s="28"/>
      <c r="AE109" s="29" t="s">
        <v>256</v>
      </c>
      <c r="AF109" s="30" t="s">
        <v>189</v>
      </c>
      <c r="AG109" s="31" t="s">
        <v>48</v>
      </c>
      <c r="AH109" s="31" t="s">
        <v>48</v>
      </c>
    </row>
    <row r="110" spans="1:34" ht="24.75" customHeight="1" x14ac:dyDescent="0.15">
      <c r="A110" s="4">
        <v>61</v>
      </c>
      <c r="B110" s="5" t="s">
        <v>35</v>
      </c>
      <c r="C110" s="83" t="s">
        <v>369</v>
      </c>
      <c r="D110" s="32"/>
      <c r="E110" s="33" t="s">
        <v>368</v>
      </c>
      <c r="F110" s="10"/>
      <c r="G110" s="10" t="s">
        <v>373</v>
      </c>
      <c r="H110" s="11" t="s">
        <v>372</v>
      </c>
      <c r="I110" s="12" t="s">
        <v>84</v>
      </c>
      <c r="J110" s="7"/>
      <c r="K110" s="13"/>
      <c r="L110" s="14"/>
      <c r="M110" s="14">
        <v>38</v>
      </c>
      <c r="N110" s="16">
        <v>237</v>
      </c>
      <c r="O110" s="17">
        <f t="shared" si="30"/>
        <v>711</v>
      </c>
      <c r="P110" s="18">
        <f t="shared" si="31"/>
        <v>106.64999999999999</v>
      </c>
      <c r="Q110" s="19">
        <f t="shared" si="32"/>
        <v>817.65</v>
      </c>
      <c r="R110" s="80">
        <f t="shared" si="33"/>
        <v>31355.1</v>
      </c>
      <c r="S110" s="14">
        <v>5</v>
      </c>
      <c r="T110" s="22">
        <v>10</v>
      </c>
      <c r="U110" s="22">
        <v>9</v>
      </c>
      <c r="V110" s="22">
        <f t="shared" si="34"/>
        <v>19</v>
      </c>
      <c r="W110" s="24" t="s">
        <v>133</v>
      </c>
      <c r="X110" s="24">
        <v>0</v>
      </c>
      <c r="Y110" s="24">
        <v>0</v>
      </c>
      <c r="Z110" s="25" t="s">
        <v>402</v>
      </c>
      <c r="AA110" s="25"/>
      <c r="AB110" s="27"/>
      <c r="AC110" s="27"/>
      <c r="AD110" s="28"/>
      <c r="AE110" s="29"/>
      <c r="AF110" s="30"/>
      <c r="AG110" s="31"/>
      <c r="AH110" s="31"/>
    </row>
    <row r="111" spans="1:34" ht="24.75" customHeight="1" x14ac:dyDescent="0.15">
      <c r="A111" s="4">
        <v>62</v>
      </c>
      <c r="B111" s="5" t="s">
        <v>35</v>
      </c>
      <c r="C111" s="83" t="s">
        <v>371</v>
      </c>
      <c r="D111" s="32"/>
      <c r="E111" s="33" t="s">
        <v>370</v>
      </c>
      <c r="F111" s="10"/>
      <c r="G111" s="10" t="s">
        <v>373</v>
      </c>
      <c r="H111" s="11" t="s">
        <v>372</v>
      </c>
      <c r="I111" s="12" t="s">
        <v>84</v>
      </c>
      <c r="J111" s="7"/>
      <c r="K111" s="13"/>
      <c r="L111" s="14"/>
      <c r="M111" s="14">
        <v>38</v>
      </c>
      <c r="N111" s="16">
        <v>237</v>
      </c>
      <c r="O111" s="17">
        <f t="shared" si="30"/>
        <v>711</v>
      </c>
      <c r="P111" s="18">
        <f t="shared" si="31"/>
        <v>106.64999999999999</v>
      </c>
      <c r="Q111" s="19">
        <f t="shared" si="32"/>
        <v>817.65</v>
      </c>
      <c r="R111" s="80">
        <f t="shared" si="33"/>
        <v>31355.1</v>
      </c>
      <c r="S111" s="14">
        <v>2</v>
      </c>
      <c r="T111" s="22">
        <v>4</v>
      </c>
      <c r="U111" s="22">
        <v>3</v>
      </c>
      <c r="V111" s="22">
        <f t="shared" si="34"/>
        <v>7</v>
      </c>
      <c r="W111" s="24" t="s">
        <v>133</v>
      </c>
      <c r="X111" s="24">
        <v>0</v>
      </c>
      <c r="Y111" s="24">
        <v>0</v>
      </c>
      <c r="Z111" s="25" t="s">
        <v>402</v>
      </c>
      <c r="AA111" s="25"/>
      <c r="AB111" s="27"/>
      <c r="AC111" s="27"/>
      <c r="AD111" s="28"/>
      <c r="AE111" s="29"/>
      <c r="AF111" s="30"/>
      <c r="AG111" s="31"/>
      <c r="AH111" s="31"/>
    </row>
    <row r="112" spans="1:34" ht="24.75" customHeight="1" x14ac:dyDescent="0.15">
      <c r="A112" s="4">
        <v>63</v>
      </c>
      <c r="B112" s="5" t="s">
        <v>35</v>
      </c>
      <c r="C112" s="83" t="s">
        <v>376</v>
      </c>
      <c r="D112" s="32"/>
      <c r="E112" s="33" t="s">
        <v>374</v>
      </c>
      <c r="F112" s="10"/>
      <c r="G112" s="10" t="s">
        <v>373</v>
      </c>
      <c r="H112" s="11" t="s">
        <v>372</v>
      </c>
      <c r="I112" s="12" t="s">
        <v>84</v>
      </c>
      <c r="J112" s="7"/>
      <c r="K112" s="13"/>
      <c r="L112" s="14"/>
      <c r="M112" s="14">
        <v>38</v>
      </c>
      <c r="N112" s="16">
        <v>237</v>
      </c>
      <c r="O112" s="17">
        <f t="shared" si="30"/>
        <v>711</v>
      </c>
      <c r="P112" s="18">
        <f t="shared" si="31"/>
        <v>106.64999999999999</v>
      </c>
      <c r="Q112" s="19">
        <f t="shared" si="32"/>
        <v>817.65</v>
      </c>
      <c r="R112" s="80">
        <f t="shared" si="33"/>
        <v>31355.1</v>
      </c>
      <c r="S112" s="14">
        <v>5</v>
      </c>
      <c r="T112" s="22">
        <v>10</v>
      </c>
      <c r="U112" s="22">
        <v>9</v>
      </c>
      <c r="V112" s="22">
        <f t="shared" si="34"/>
        <v>19</v>
      </c>
      <c r="W112" s="24" t="s">
        <v>133</v>
      </c>
      <c r="X112" s="24">
        <v>0</v>
      </c>
      <c r="Y112" s="24">
        <v>0</v>
      </c>
      <c r="Z112" s="25" t="s">
        <v>402</v>
      </c>
      <c r="AA112" s="25"/>
      <c r="AB112" s="27"/>
      <c r="AC112" s="27"/>
      <c r="AD112" s="28"/>
      <c r="AE112" s="29"/>
      <c r="AF112" s="30"/>
      <c r="AG112" s="31"/>
      <c r="AH112" s="31"/>
    </row>
    <row r="113" spans="1:34" ht="24.75" customHeight="1" x14ac:dyDescent="0.15">
      <c r="A113" s="4">
        <v>64</v>
      </c>
      <c r="B113" s="5" t="s">
        <v>35</v>
      </c>
      <c r="C113" s="83" t="s">
        <v>377</v>
      </c>
      <c r="D113" s="32"/>
      <c r="E113" s="33" t="s">
        <v>375</v>
      </c>
      <c r="F113" s="10"/>
      <c r="G113" s="10" t="s">
        <v>373</v>
      </c>
      <c r="H113" s="11" t="s">
        <v>372</v>
      </c>
      <c r="I113" s="12" t="s">
        <v>84</v>
      </c>
      <c r="J113" s="7"/>
      <c r="K113" s="13"/>
      <c r="L113" s="14"/>
      <c r="M113" s="14">
        <v>38</v>
      </c>
      <c r="N113" s="16">
        <v>237</v>
      </c>
      <c r="O113" s="17">
        <f t="shared" si="30"/>
        <v>711</v>
      </c>
      <c r="P113" s="18">
        <f t="shared" si="31"/>
        <v>106.64999999999999</v>
      </c>
      <c r="Q113" s="19">
        <f t="shared" si="32"/>
        <v>817.65</v>
      </c>
      <c r="R113" s="80">
        <f t="shared" si="33"/>
        <v>31355.1</v>
      </c>
      <c r="S113" s="14">
        <v>2</v>
      </c>
      <c r="T113" s="22">
        <v>4</v>
      </c>
      <c r="U113" s="22">
        <v>3</v>
      </c>
      <c r="V113" s="22">
        <f t="shared" si="34"/>
        <v>7</v>
      </c>
      <c r="W113" s="24" t="s">
        <v>133</v>
      </c>
      <c r="X113" s="24">
        <v>0</v>
      </c>
      <c r="Y113" s="24">
        <v>0</v>
      </c>
      <c r="Z113" s="25" t="s">
        <v>402</v>
      </c>
      <c r="AA113" s="25"/>
      <c r="AB113" s="27"/>
      <c r="AC113" s="27"/>
      <c r="AD113" s="28"/>
      <c r="AE113" s="29"/>
      <c r="AF113" s="30"/>
      <c r="AG113" s="31"/>
      <c r="AH113" s="31"/>
    </row>
    <row r="114" spans="1:34" ht="24.75" customHeight="1" x14ac:dyDescent="0.15">
      <c r="A114" s="4">
        <v>65</v>
      </c>
      <c r="B114" s="5" t="s">
        <v>35</v>
      </c>
      <c r="C114" s="83" t="str">
        <f t="shared" ref="C114:C115" si="35">UPPER(SUBSTITUTE(E114, " ", ""))</f>
        <v>TECCODIAMONDBLOCKA</v>
      </c>
      <c r="D114" s="32"/>
      <c r="E114" s="33" t="s">
        <v>380</v>
      </c>
      <c r="F114" s="10"/>
      <c r="G114" s="10" t="s">
        <v>379</v>
      </c>
      <c r="H114" s="11" t="s">
        <v>378</v>
      </c>
      <c r="I114" s="12" t="s">
        <v>84</v>
      </c>
      <c r="J114" s="7"/>
      <c r="K114" s="13"/>
      <c r="L114" s="14"/>
      <c r="M114" s="14">
        <v>25</v>
      </c>
      <c r="N114" s="16">
        <v>333</v>
      </c>
      <c r="O114" s="17">
        <f t="shared" si="30"/>
        <v>999</v>
      </c>
      <c r="P114" s="18">
        <f t="shared" si="31"/>
        <v>149.85</v>
      </c>
      <c r="Q114" s="19">
        <f t="shared" si="32"/>
        <v>1148.8499999999999</v>
      </c>
      <c r="R114" s="80">
        <f t="shared" si="33"/>
        <v>44055.9</v>
      </c>
      <c r="S114" s="14">
        <v>5</v>
      </c>
      <c r="T114" s="22">
        <v>8</v>
      </c>
      <c r="U114" s="22">
        <v>11</v>
      </c>
      <c r="V114" s="22">
        <f t="shared" si="34"/>
        <v>19</v>
      </c>
      <c r="W114" s="24" t="s">
        <v>133</v>
      </c>
      <c r="X114" s="24">
        <v>0</v>
      </c>
      <c r="Y114" s="24">
        <v>0</v>
      </c>
      <c r="Z114" s="25" t="s">
        <v>401</v>
      </c>
      <c r="AA114" s="25"/>
      <c r="AB114" s="27"/>
      <c r="AC114" s="27"/>
      <c r="AD114" s="28"/>
      <c r="AE114" s="29"/>
      <c r="AF114" s="30"/>
      <c r="AG114" s="31"/>
      <c r="AH114" s="31"/>
    </row>
    <row r="115" spans="1:34" ht="24.75" customHeight="1" x14ac:dyDescent="0.15">
      <c r="A115" s="4">
        <v>66</v>
      </c>
      <c r="B115" s="5" t="s">
        <v>35</v>
      </c>
      <c r="C115" s="83" t="str">
        <f t="shared" si="35"/>
        <v>TECCODIAMONDBLOCKB</v>
      </c>
      <c r="D115" s="32"/>
      <c r="E115" s="33" t="s">
        <v>381</v>
      </c>
      <c r="F115" s="10"/>
      <c r="G115" s="10" t="s">
        <v>379</v>
      </c>
      <c r="H115" s="11" t="s">
        <v>378</v>
      </c>
      <c r="I115" s="12" t="s">
        <v>84</v>
      </c>
      <c r="J115" s="7"/>
      <c r="K115" s="13"/>
      <c r="L115" s="14"/>
      <c r="M115" s="14">
        <v>25</v>
      </c>
      <c r="N115" s="16">
        <v>332</v>
      </c>
      <c r="O115" s="17">
        <f t="shared" si="30"/>
        <v>996</v>
      </c>
      <c r="P115" s="18">
        <f t="shared" si="31"/>
        <v>149.4</v>
      </c>
      <c r="Q115" s="19">
        <f t="shared" si="32"/>
        <v>1145.4000000000001</v>
      </c>
      <c r="R115" s="80">
        <f t="shared" si="33"/>
        <v>43923.6</v>
      </c>
      <c r="S115" s="14">
        <v>5</v>
      </c>
      <c r="T115" s="22">
        <v>8</v>
      </c>
      <c r="U115" s="22">
        <v>11</v>
      </c>
      <c r="V115" s="22">
        <f t="shared" si="34"/>
        <v>19</v>
      </c>
      <c r="W115" s="24" t="s">
        <v>133</v>
      </c>
      <c r="X115" s="24">
        <v>0</v>
      </c>
      <c r="Y115" s="24">
        <v>0</v>
      </c>
      <c r="Z115" s="25" t="s">
        <v>401</v>
      </c>
      <c r="AA115" s="25"/>
      <c r="AB115" s="27"/>
      <c r="AC115" s="27"/>
      <c r="AD115" s="28"/>
      <c r="AE115" s="29"/>
      <c r="AF115" s="30"/>
      <c r="AG115" s="31"/>
      <c r="AH115" s="31"/>
    </row>
    <row r="116" spans="1:34" ht="24.5" customHeight="1" x14ac:dyDescent="0.15">
      <c r="A116" s="4">
        <v>67</v>
      </c>
      <c r="B116" s="5" t="s">
        <v>35</v>
      </c>
      <c r="C116" s="83" t="s">
        <v>386</v>
      </c>
      <c r="D116" s="32"/>
      <c r="E116" s="33" t="s">
        <v>384</v>
      </c>
      <c r="F116" s="10"/>
      <c r="G116" s="10" t="s">
        <v>382</v>
      </c>
      <c r="H116" s="11" t="s">
        <v>383</v>
      </c>
      <c r="I116" s="12" t="s">
        <v>84</v>
      </c>
      <c r="J116" s="7"/>
      <c r="K116" s="13"/>
      <c r="L116" s="14"/>
      <c r="M116" s="14">
        <v>35</v>
      </c>
      <c r="N116" s="16">
        <v>193</v>
      </c>
      <c r="O116" s="17">
        <f t="shared" si="27"/>
        <v>579</v>
      </c>
      <c r="P116" s="18">
        <f t="shared" si="19"/>
        <v>86.85</v>
      </c>
      <c r="Q116" s="19">
        <f t="shared" si="28"/>
        <v>665.85</v>
      </c>
      <c r="R116" s="80">
        <f t="shared" si="20"/>
        <v>25533.9</v>
      </c>
      <c r="S116" s="14">
        <v>3</v>
      </c>
      <c r="T116" s="22">
        <v>6</v>
      </c>
      <c r="U116" s="22">
        <v>8</v>
      </c>
      <c r="V116" s="22">
        <f t="shared" si="29"/>
        <v>14</v>
      </c>
      <c r="W116" s="24" t="s">
        <v>133</v>
      </c>
      <c r="X116" s="24">
        <v>0</v>
      </c>
      <c r="Y116" s="24">
        <v>0</v>
      </c>
      <c r="Z116" s="25" t="s">
        <v>400</v>
      </c>
      <c r="AA116" s="25"/>
      <c r="AB116" s="27"/>
      <c r="AC116" s="27"/>
      <c r="AD116" s="28"/>
      <c r="AE116" s="29" t="s">
        <v>240</v>
      </c>
      <c r="AF116" s="55"/>
      <c r="AG116" s="31" t="s">
        <v>48</v>
      </c>
      <c r="AH116" s="31" t="s">
        <v>48</v>
      </c>
    </row>
    <row r="117" spans="1:34" ht="24.75" customHeight="1" x14ac:dyDescent="0.15">
      <c r="A117" s="4">
        <v>68</v>
      </c>
      <c r="B117" s="5" t="s">
        <v>35</v>
      </c>
      <c r="C117" s="83" t="s">
        <v>387</v>
      </c>
      <c r="D117" s="32"/>
      <c r="E117" s="33" t="s">
        <v>385</v>
      </c>
      <c r="F117" s="10"/>
      <c r="G117" s="10" t="s">
        <v>382</v>
      </c>
      <c r="H117" s="11" t="s">
        <v>383</v>
      </c>
      <c r="I117" s="12" t="s">
        <v>84</v>
      </c>
      <c r="J117" s="7"/>
      <c r="K117" s="13"/>
      <c r="L117" s="14"/>
      <c r="M117" s="14">
        <v>35</v>
      </c>
      <c r="N117" s="16">
        <v>193</v>
      </c>
      <c r="O117" s="17">
        <f t="shared" si="27"/>
        <v>579</v>
      </c>
      <c r="P117" s="18">
        <f t="shared" si="19"/>
        <v>86.85</v>
      </c>
      <c r="Q117" s="19">
        <f t="shared" si="28"/>
        <v>665.85</v>
      </c>
      <c r="R117" s="80">
        <f t="shared" si="20"/>
        <v>25533.9</v>
      </c>
      <c r="S117" s="14">
        <v>3</v>
      </c>
      <c r="T117" s="22">
        <v>6</v>
      </c>
      <c r="U117" s="22">
        <v>8</v>
      </c>
      <c r="V117" s="22">
        <f t="shared" si="29"/>
        <v>14</v>
      </c>
      <c r="W117" s="24" t="s">
        <v>133</v>
      </c>
      <c r="X117" s="24">
        <v>0</v>
      </c>
      <c r="Y117" s="24">
        <v>0</v>
      </c>
      <c r="Z117" s="25" t="s">
        <v>400</v>
      </c>
      <c r="AA117" s="25"/>
      <c r="AB117" s="27"/>
      <c r="AC117" s="27"/>
      <c r="AD117" s="28"/>
      <c r="AE117" s="29" t="s">
        <v>240</v>
      </c>
      <c r="AF117" s="55"/>
      <c r="AG117" s="31" t="s">
        <v>48</v>
      </c>
      <c r="AH117" s="31" t="s">
        <v>48</v>
      </c>
    </row>
    <row r="118" spans="1:34" ht="24.75" customHeight="1" x14ac:dyDescent="0.15">
      <c r="A118" s="4">
        <v>69</v>
      </c>
      <c r="B118" s="5" t="s">
        <v>35</v>
      </c>
      <c r="C118" s="83" t="s">
        <v>391</v>
      </c>
      <c r="D118" s="32"/>
      <c r="E118" s="33" t="s">
        <v>388</v>
      </c>
      <c r="F118" s="10"/>
      <c r="G118" s="10" t="s">
        <v>389</v>
      </c>
      <c r="H118" s="11" t="s">
        <v>390</v>
      </c>
      <c r="I118" s="12" t="s">
        <v>84</v>
      </c>
      <c r="J118" s="7"/>
      <c r="K118" s="13"/>
      <c r="L118" s="14"/>
      <c r="M118" s="14">
        <v>32</v>
      </c>
      <c r="N118" s="16">
        <v>341</v>
      </c>
      <c r="O118" s="17">
        <f t="shared" ref="O118:O123" si="36">N118*3</f>
        <v>1023</v>
      </c>
      <c r="P118" s="18">
        <f t="shared" ref="P118" si="37">O118*0.15</f>
        <v>153.44999999999999</v>
      </c>
      <c r="Q118" s="19">
        <f t="shared" ref="Q118" si="38">SUM(O118:P118)</f>
        <v>1176.45</v>
      </c>
      <c r="R118" s="80">
        <f t="shared" ref="R118" si="39">(O118*7*6)+(P118*7*2)</f>
        <v>45114.3</v>
      </c>
      <c r="S118" s="14">
        <v>6</v>
      </c>
      <c r="T118" s="22">
        <v>12</v>
      </c>
      <c r="U118" s="22">
        <v>8</v>
      </c>
      <c r="V118" s="22">
        <f t="shared" ref="V118:V122" si="40">SUM(T118:U118)</f>
        <v>20</v>
      </c>
      <c r="W118" s="24" t="s">
        <v>133</v>
      </c>
      <c r="X118" s="24">
        <v>0</v>
      </c>
      <c r="Y118" s="24">
        <v>0</v>
      </c>
      <c r="Z118" s="47" t="s">
        <v>400</v>
      </c>
      <c r="AA118" s="25"/>
      <c r="AB118" s="27"/>
      <c r="AC118" s="27"/>
      <c r="AD118" s="28"/>
      <c r="AE118" s="29" t="s">
        <v>256</v>
      </c>
      <c r="AF118" s="30" t="s">
        <v>189</v>
      </c>
      <c r="AG118" s="31" t="s">
        <v>48</v>
      </c>
      <c r="AH118" s="31" t="s">
        <v>48</v>
      </c>
    </row>
    <row r="119" spans="1:34" ht="24.5" customHeight="1" x14ac:dyDescent="0.15">
      <c r="A119" s="4">
        <v>70</v>
      </c>
      <c r="B119" s="5" t="s">
        <v>35</v>
      </c>
      <c r="C119" s="83" t="str">
        <f t="shared" ref="C119:C123" si="41">UPPER(SUBSTITUTE(E119, " ", ""))</f>
        <v>VINHOMESKYLAKEBLOCKSA1</v>
      </c>
      <c r="D119" s="32"/>
      <c r="E119" s="33" t="s">
        <v>392</v>
      </c>
      <c r="F119" s="10"/>
      <c r="G119" s="10" t="s">
        <v>393</v>
      </c>
      <c r="H119" s="11" t="s">
        <v>394</v>
      </c>
      <c r="I119" s="12" t="s">
        <v>84</v>
      </c>
      <c r="J119" s="7"/>
      <c r="K119" s="13"/>
      <c r="L119" s="14"/>
      <c r="M119" s="14">
        <v>36</v>
      </c>
      <c r="N119" s="16">
        <v>371</v>
      </c>
      <c r="O119" s="17">
        <f t="shared" si="36"/>
        <v>1113</v>
      </c>
      <c r="P119" s="18">
        <f t="shared" ref="P119:P123" si="42">O119*0.15</f>
        <v>166.95</v>
      </c>
      <c r="Q119" s="19">
        <f t="shared" ref="Q119:Q123" si="43">SUM(O119:P119)</f>
        <v>1279.95</v>
      </c>
      <c r="R119" s="80">
        <f t="shared" ref="R119:R123" si="44">(O119*7*6)+(P119*7*2)</f>
        <v>49083.3</v>
      </c>
      <c r="S119" s="14">
        <v>8</v>
      </c>
      <c r="T119" s="22">
        <v>16</v>
      </c>
      <c r="U119" s="22">
        <v>13</v>
      </c>
      <c r="V119" s="22">
        <f t="shared" si="40"/>
        <v>29</v>
      </c>
      <c r="W119" s="24" t="s">
        <v>133</v>
      </c>
      <c r="X119" s="24">
        <v>0</v>
      </c>
      <c r="Y119" s="24">
        <v>0</v>
      </c>
      <c r="Z119" s="47" t="s">
        <v>399</v>
      </c>
      <c r="AA119" s="25"/>
      <c r="AB119" s="27"/>
      <c r="AC119" s="27"/>
      <c r="AD119" s="28"/>
      <c r="AE119" s="29"/>
      <c r="AF119" s="30"/>
      <c r="AG119" s="31"/>
      <c r="AH119" s="31"/>
    </row>
    <row r="120" spans="1:34" ht="24.75" customHeight="1" x14ac:dyDescent="0.15">
      <c r="A120" s="4">
        <v>71</v>
      </c>
      <c r="B120" s="5" t="s">
        <v>35</v>
      </c>
      <c r="C120" s="83" t="str">
        <f t="shared" si="41"/>
        <v>VINHOMESKYLAKEBLOCKSA2A</v>
      </c>
      <c r="D120" s="32"/>
      <c r="E120" s="33" t="s">
        <v>395</v>
      </c>
      <c r="F120" s="10"/>
      <c r="G120" s="10" t="s">
        <v>393</v>
      </c>
      <c r="H120" s="11" t="s">
        <v>394</v>
      </c>
      <c r="I120" s="12" t="s">
        <v>84</v>
      </c>
      <c r="J120" s="7"/>
      <c r="K120" s="13"/>
      <c r="L120" s="14"/>
      <c r="M120" s="14">
        <v>41</v>
      </c>
      <c r="N120" s="16">
        <v>371</v>
      </c>
      <c r="O120" s="17">
        <f t="shared" si="36"/>
        <v>1113</v>
      </c>
      <c r="P120" s="18">
        <f t="shared" si="42"/>
        <v>166.95</v>
      </c>
      <c r="Q120" s="19">
        <f t="shared" si="43"/>
        <v>1279.95</v>
      </c>
      <c r="R120" s="80">
        <f t="shared" si="44"/>
        <v>49083.3</v>
      </c>
      <c r="S120" s="14">
        <v>7</v>
      </c>
      <c r="T120" s="22">
        <v>14</v>
      </c>
      <c r="U120" s="22">
        <v>15</v>
      </c>
      <c r="V120" s="22">
        <f t="shared" si="40"/>
        <v>29</v>
      </c>
      <c r="W120" s="24" t="s">
        <v>133</v>
      </c>
      <c r="X120" s="24">
        <v>0</v>
      </c>
      <c r="Y120" s="24">
        <v>0</v>
      </c>
      <c r="Z120" s="47" t="s">
        <v>399</v>
      </c>
      <c r="AA120" s="25"/>
      <c r="AB120" s="27"/>
      <c r="AC120" s="27"/>
      <c r="AD120" s="28"/>
      <c r="AE120" s="29"/>
      <c r="AF120" s="30"/>
      <c r="AG120" s="31"/>
      <c r="AH120" s="31"/>
    </row>
    <row r="121" spans="1:34" ht="24.75" customHeight="1" x14ac:dyDescent="0.15">
      <c r="A121" s="4">
        <v>72</v>
      </c>
      <c r="B121" s="5" t="s">
        <v>35</v>
      </c>
      <c r="C121" s="83" t="str">
        <f t="shared" si="41"/>
        <v>VINHOMESKYLAKEBLOCKSA2B</v>
      </c>
      <c r="D121" s="32"/>
      <c r="E121" s="33" t="s">
        <v>396</v>
      </c>
      <c r="F121" s="10"/>
      <c r="G121" s="10" t="s">
        <v>393</v>
      </c>
      <c r="H121" s="11" t="s">
        <v>394</v>
      </c>
      <c r="I121" s="12" t="s">
        <v>84</v>
      </c>
      <c r="J121" s="7"/>
      <c r="K121" s="13"/>
      <c r="L121" s="14"/>
      <c r="M121" s="14">
        <v>41</v>
      </c>
      <c r="N121" s="16">
        <v>371</v>
      </c>
      <c r="O121" s="17">
        <f t="shared" si="36"/>
        <v>1113</v>
      </c>
      <c r="P121" s="18">
        <f t="shared" si="42"/>
        <v>166.95</v>
      </c>
      <c r="Q121" s="19">
        <f t="shared" si="43"/>
        <v>1279.95</v>
      </c>
      <c r="R121" s="80">
        <f t="shared" si="44"/>
        <v>49083.3</v>
      </c>
      <c r="S121" s="14">
        <v>6</v>
      </c>
      <c r="T121" s="22">
        <v>12</v>
      </c>
      <c r="U121" s="22">
        <v>8</v>
      </c>
      <c r="V121" s="22">
        <f t="shared" si="40"/>
        <v>20</v>
      </c>
      <c r="W121" s="24" t="s">
        <v>133</v>
      </c>
      <c r="X121" s="24">
        <v>0</v>
      </c>
      <c r="Y121" s="24">
        <v>0</v>
      </c>
      <c r="Z121" s="47" t="s">
        <v>399</v>
      </c>
      <c r="AA121" s="25"/>
      <c r="AB121" s="27"/>
      <c r="AC121" s="27"/>
      <c r="AD121" s="28"/>
      <c r="AE121" s="29"/>
      <c r="AF121" s="30"/>
      <c r="AG121" s="31"/>
      <c r="AH121" s="31"/>
    </row>
    <row r="122" spans="1:34" ht="24.75" customHeight="1" x14ac:dyDescent="0.15">
      <c r="A122" s="4">
        <v>73</v>
      </c>
      <c r="B122" s="5" t="s">
        <v>35</v>
      </c>
      <c r="C122" s="83" t="str">
        <f t="shared" si="41"/>
        <v>VINHOMESKYLAKEBLOCKSA3A</v>
      </c>
      <c r="D122" s="32"/>
      <c r="E122" s="33" t="s">
        <v>397</v>
      </c>
      <c r="F122" s="10"/>
      <c r="G122" s="10" t="s">
        <v>393</v>
      </c>
      <c r="H122" s="11" t="s">
        <v>394</v>
      </c>
      <c r="I122" s="12" t="s">
        <v>84</v>
      </c>
      <c r="J122" s="7"/>
      <c r="K122" s="13"/>
      <c r="L122" s="14"/>
      <c r="M122" s="14">
        <v>41</v>
      </c>
      <c r="N122" s="16">
        <v>371</v>
      </c>
      <c r="O122" s="17">
        <f t="shared" si="36"/>
        <v>1113</v>
      </c>
      <c r="P122" s="18">
        <f t="shared" si="42"/>
        <v>166.95</v>
      </c>
      <c r="Q122" s="19">
        <f t="shared" si="43"/>
        <v>1279.95</v>
      </c>
      <c r="R122" s="80">
        <f t="shared" si="44"/>
        <v>49083.3</v>
      </c>
      <c r="S122" s="14">
        <v>7</v>
      </c>
      <c r="T122" s="22">
        <v>14</v>
      </c>
      <c r="U122" s="22">
        <v>15</v>
      </c>
      <c r="V122" s="22">
        <f t="shared" si="40"/>
        <v>29</v>
      </c>
      <c r="W122" s="24" t="s">
        <v>133</v>
      </c>
      <c r="X122" s="24">
        <v>0</v>
      </c>
      <c r="Y122" s="24">
        <v>0</v>
      </c>
      <c r="Z122" s="47" t="s">
        <v>399</v>
      </c>
      <c r="AA122" s="25"/>
      <c r="AB122" s="27"/>
      <c r="AC122" s="27"/>
      <c r="AD122" s="28"/>
      <c r="AE122" s="29"/>
      <c r="AF122" s="30"/>
      <c r="AG122" s="31"/>
      <c r="AH122" s="31"/>
    </row>
    <row r="123" spans="1:34" ht="24.75" customHeight="1" x14ac:dyDescent="0.15">
      <c r="A123" s="4">
        <v>74</v>
      </c>
      <c r="B123" s="5" t="s">
        <v>35</v>
      </c>
      <c r="C123" s="83" t="str">
        <f t="shared" si="41"/>
        <v>VINHOMESKYLAKEBLOCKSA3B</v>
      </c>
      <c r="D123" s="32"/>
      <c r="E123" s="33" t="s">
        <v>398</v>
      </c>
      <c r="F123" s="10"/>
      <c r="G123" s="10" t="s">
        <v>393</v>
      </c>
      <c r="H123" s="11" t="s">
        <v>394</v>
      </c>
      <c r="I123" s="12" t="s">
        <v>84</v>
      </c>
      <c r="J123" s="7"/>
      <c r="K123" s="13"/>
      <c r="L123" s="14"/>
      <c r="M123" s="14">
        <v>41</v>
      </c>
      <c r="N123" s="16">
        <v>371</v>
      </c>
      <c r="O123" s="17">
        <f t="shared" si="36"/>
        <v>1113</v>
      </c>
      <c r="P123" s="18">
        <f t="shared" si="42"/>
        <v>166.95</v>
      </c>
      <c r="Q123" s="19">
        <f t="shared" si="43"/>
        <v>1279.95</v>
      </c>
      <c r="R123" s="80">
        <f t="shared" si="44"/>
        <v>49083.3</v>
      </c>
      <c r="S123" s="14">
        <v>6</v>
      </c>
      <c r="T123" s="22">
        <v>12</v>
      </c>
      <c r="U123" s="22">
        <v>8</v>
      </c>
      <c r="V123" s="22">
        <f t="shared" si="29"/>
        <v>20</v>
      </c>
      <c r="W123" s="24" t="s">
        <v>133</v>
      </c>
      <c r="X123" s="24">
        <v>0</v>
      </c>
      <c r="Y123" s="24">
        <v>0</v>
      </c>
      <c r="Z123" s="47" t="s">
        <v>399</v>
      </c>
      <c r="AA123" s="25"/>
      <c r="AB123" s="27"/>
      <c r="AC123" s="27"/>
      <c r="AD123" s="28"/>
      <c r="AE123" s="29" t="s">
        <v>256</v>
      </c>
      <c r="AF123" s="30" t="s">
        <v>189</v>
      </c>
      <c r="AG123" s="31" t="s">
        <v>48</v>
      </c>
      <c r="AH123" s="31" t="s">
        <v>48</v>
      </c>
    </row>
    <row r="124" spans="1:34" ht="24.75" customHeight="1" x14ac:dyDescent="0.15">
      <c r="A124" s="59">
        <f>COUNTIF($W$50:$W$96,"ON AIR")</f>
        <v>24</v>
      </c>
      <c r="B124" s="163" t="s">
        <v>322</v>
      </c>
      <c r="C124" s="153"/>
      <c r="D124" s="153"/>
      <c r="E124" s="153"/>
      <c r="F124" s="153"/>
      <c r="G124" s="153"/>
      <c r="H124" s="153"/>
      <c r="I124" s="153"/>
      <c r="J124" s="61"/>
      <c r="K124" s="61"/>
      <c r="L124" s="61"/>
      <c r="M124" s="60"/>
      <c r="N124" s="62">
        <f>SUMIF($W$50:$W$96,"ON AIR",N50:N123)</f>
        <v>7206</v>
      </c>
      <c r="O124" s="62">
        <f t="shared" ref="O124:V124" si="45">SUMIF($W$50:$W$123,"ON AIR",O50:O123)</f>
        <v>21618</v>
      </c>
      <c r="P124" s="62">
        <f t="shared" si="45"/>
        <v>3242.7000000000012</v>
      </c>
      <c r="Q124" s="63">
        <f t="shared" si="45"/>
        <v>24860.699999999993</v>
      </c>
      <c r="R124" s="64">
        <f t="shared" si="45"/>
        <v>953353.7999999997</v>
      </c>
      <c r="S124" s="62">
        <f t="shared" si="45"/>
        <v>98</v>
      </c>
      <c r="T124" s="63">
        <f t="shared" si="45"/>
        <v>163</v>
      </c>
      <c r="U124" s="63">
        <f t="shared" si="45"/>
        <v>81</v>
      </c>
      <c r="V124" s="63">
        <f t="shared" si="45"/>
        <v>244</v>
      </c>
      <c r="W124" s="62"/>
      <c r="X124" s="62">
        <f>SUMIF($W$50:$W$123,"ON AIR",X50:X123)</f>
        <v>33</v>
      </c>
      <c r="Y124" s="62">
        <f>SUMIF($W$50:$W$123,"ON AIR",Y50:Y123)</f>
        <v>95</v>
      </c>
      <c r="Z124" s="65"/>
      <c r="AA124" s="65"/>
      <c r="AB124" s="85"/>
      <c r="AC124" s="85"/>
      <c r="AD124" s="86"/>
      <c r="AE124" s="86"/>
      <c r="AF124" s="86"/>
      <c r="AG124" s="86"/>
      <c r="AH124" s="86"/>
    </row>
    <row r="125" spans="1:34" ht="24.75" customHeight="1" x14ac:dyDescent="0.15">
      <c r="A125" s="87">
        <f>COUNTIF($W$50:$W$96,"ON GOING")</f>
        <v>23</v>
      </c>
      <c r="B125" s="172" t="s">
        <v>323</v>
      </c>
      <c r="C125" s="165"/>
      <c r="D125" s="165"/>
      <c r="E125" s="165"/>
      <c r="F125" s="165"/>
      <c r="G125" s="165"/>
      <c r="H125" s="165"/>
      <c r="I125" s="165"/>
      <c r="J125" s="89"/>
      <c r="K125" s="89"/>
      <c r="L125" s="89"/>
      <c r="M125" s="88"/>
      <c r="N125" s="90">
        <f t="shared" ref="N125:V125" si="46">SUMIF($W$50:$W$123,"ON GOING",N50:N123)</f>
        <v>12540</v>
      </c>
      <c r="O125" s="90">
        <f t="shared" si="46"/>
        <v>37620</v>
      </c>
      <c r="P125" s="90">
        <f t="shared" si="46"/>
        <v>5643.0000000000009</v>
      </c>
      <c r="Q125" s="91">
        <f t="shared" si="46"/>
        <v>43262.999999999985</v>
      </c>
      <c r="R125" s="92">
        <f t="shared" si="46"/>
        <v>1659042.0000000002</v>
      </c>
      <c r="S125" s="90">
        <f t="shared" si="46"/>
        <v>204</v>
      </c>
      <c r="T125" s="91">
        <f t="shared" si="46"/>
        <v>284</v>
      </c>
      <c r="U125" s="91">
        <f t="shared" si="46"/>
        <v>305</v>
      </c>
      <c r="V125" s="91">
        <f t="shared" si="46"/>
        <v>589</v>
      </c>
      <c r="W125" s="90"/>
      <c r="X125" s="90">
        <f>SUMIF($W$50:$W$123,"ON GOING",X50:X123)</f>
        <v>9</v>
      </c>
      <c r="Y125" s="90">
        <f>SUMIF($W$50:$W$123,"ON GOING",Y50:Y123)</f>
        <v>27</v>
      </c>
      <c r="Z125" s="93"/>
      <c r="AA125" s="93"/>
      <c r="AB125" s="94"/>
      <c r="AC125" s="94"/>
      <c r="AD125" s="95"/>
      <c r="AE125" s="95"/>
      <c r="AF125" s="95"/>
      <c r="AG125" s="95"/>
      <c r="AH125" s="95"/>
    </row>
    <row r="126" spans="1:34" ht="24.75" customHeight="1" x14ac:dyDescent="0.15">
      <c r="A126" s="4">
        <v>1</v>
      </c>
      <c r="B126" s="5" t="s">
        <v>77</v>
      </c>
      <c r="C126" s="82" t="s">
        <v>324</v>
      </c>
      <c r="D126" s="32"/>
      <c r="E126" s="33" t="s">
        <v>325</v>
      </c>
      <c r="F126" s="9"/>
      <c r="G126" s="10" t="s">
        <v>326</v>
      </c>
      <c r="H126" s="11" t="s">
        <v>327</v>
      </c>
      <c r="I126" s="12" t="s">
        <v>328</v>
      </c>
      <c r="J126" s="7"/>
      <c r="K126" s="13"/>
      <c r="L126" s="14"/>
      <c r="M126" s="15">
        <v>12</v>
      </c>
      <c r="N126" s="16">
        <v>100</v>
      </c>
      <c r="O126" s="17"/>
      <c r="P126" s="18"/>
      <c r="Q126" s="19">
        <v>1000</v>
      </c>
      <c r="R126" s="80"/>
      <c r="S126" s="21">
        <v>3</v>
      </c>
      <c r="T126" s="22">
        <v>6</v>
      </c>
      <c r="U126" s="22">
        <v>4</v>
      </c>
      <c r="V126" s="22">
        <f>SUM(T126:U126)</f>
        <v>10</v>
      </c>
      <c r="W126" s="24" t="s">
        <v>42</v>
      </c>
      <c r="X126" s="24">
        <v>0</v>
      </c>
      <c r="Y126" s="24">
        <v>0</v>
      </c>
      <c r="Z126" s="25" t="s">
        <v>329</v>
      </c>
      <c r="AA126" s="26"/>
      <c r="AB126" s="27"/>
      <c r="AC126" s="27" t="s">
        <v>330</v>
      </c>
      <c r="AD126" s="96" t="s">
        <v>331</v>
      </c>
      <c r="AE126" s="29" t="s">
        <v>332</v>
      </c>
      <c r="AF126" s="30" t="s">
        <v>189</v>
      </c>
      <c r="AG126" s="38" t="s">
        <v>48</v>
      </c>
      <c r="AH126" s="56"/>
    </row>
    <row r="127" spans="1:34" ht="24.75" customHeight="1" x14ac:dyDescent="0.15">
      <c r="A127" s="59">
        <f>A126</f>
        <v>1</v>
      </c>
      <c r="B127" s="163" t="s">
        <v>333</v>
      </c>
      <c r="C127" s="153"/>
      <c r="D127" s="153"/>
      <c r="E127" s="153"/>
      <c r="F127" s="153"/>
      <c r="G127" s="153"/>
      <c r="H127" s="153"/>
      <c r="I127" s="153"/>
      <c r="J127" s="61"/>
      <c r="K127" s="61"/>
      <c r="L127" s="61"/>
      <c r="M127" s="62">
        <f>SUM(M126)</f>
        <v>12</v>
      </c>
      <c r="N127" s="62">
        <f t="shared" ref="N127:Q127" si="47">SUM(N126)</f>
        <v>100</v>
      </c>
      <c r="O127" s="62">
        <f t="shared" si="47"/>
        <v>0</v>
      </c>
      <c r="P127" s="62">
        <f t="shared" si="47"/>
        <v>0</v>
      </c>
      <c r="Q127" s="62">
        <f t="shared" si="47"/>
        <v>1000</v>
      </c>
      <c r="R127" s="64"/>
      <c r="S127" s="62">
        <f>SUM(S126)</f>
        <v>3</v>
      </c>
      <c r="T127" s="63">
        <f t="shared" ref="T127:V127" si="48">SUMIF($W$126,"ON AIR",T126)</f>
        <v>6</v>
      </c>
      <c r="U127" s="63">
        <f t="shared" si="48"/>
        <v>4</v>
      </c>
      <c r="V127" s="63">
        <f t="shared" si="48"/>
        <v>10</v>
      </c>
      <c r="W127" s="62"/>
      <c r="X127" s="62">
        <f t="shared" ref="X127:Y127" si="49">SUMIF($W$126,"ON AIR",X126)</f>
        <v>0</v>
      </c>
      <c r="Y127" s="62">
        <f t="shared" si="49"/>
        <v>0</v>
      </c>
      <c r="Z127" s="65"/>
      <c r="AA127" s="65"/>
      <c r="AB127" s="85"/>
      <c r="AC127" s="85"/>
      <c r="AD127" s="86"/>
      <c r="AE127" s="97"/>
      <c r="AF127" s="98"/>
      <c r="AG127" s="98"/>
      <c r="AH127" s="98"/>
    </row>
    <row r="128" spans="1:34" ht="24.75" customHeight="1" x14ac:dyDescent="0.15">
      <c r="A128" s="87">
        <v>0</v>
      </c>
      <c r="B128" s="172" t="s">
        <v>334</v>
      </c>
      <c r="C128" s="165"/>
      <c r="D128" s="165"/>
      <c r="E128" s="165"/>
      <c r="F128" s="165"/>
      <c r="G128" s="165"/>
      <c r="H128" s="165"/>
      <c r="I128" s="165"/>
      <c r="J128" s="89"/>
      <c r="K128" s="89"/>
      <c r="L128" s="89"/>
      <c r="M128" s="88"/>
      <c r="N128" s="90">
        <v>0</v>
      </c>
      <c r="O128" s="90">
        <v>0</v>
      </c>
      <c r="P128" s="90">
        <v>0</v>
      </c>
      <c r="Q128" s="91">
        <v>0</v>
      </c>
      <c r="R128" s="92">
        <v>0</v>
      </c>
      <c r="S128" s="90">
        <v>0</v>
      </c>
      <c r="T128" s="91">
        <f t="shared" ref="T128:V128" si="50">SUMIF($W$126,"ON GOING",T126)</f>
        <v>0</v>
      </c>
      <c r="U128" s="91">
        <f t="shared" si="50"/>
        <v>0</v>
      </c>
      <c r="V128" s="91">
        <f t="shared" si="50"/>
        <v>0</v>
      </c>
      <c r="W128" s="90"/>
      <c r="X128" s="90">
        <f t="shared" ref="X128:Y128" si="51">SUMIF($W$126,"ON GOING",X126)</f>
        <v>0</v>
      </c>
      <c r="Y128" s="90">
        <f t="shared" si="51"/>
        <v>0</v>
      </c>
      <c r="Z128" s="93"/>
      <c r="AA128" s="93"/>
      <c r="AB128" s="94"/>
      <c r="AC128" s="94"/>
      <c r="AD128" s="95"/>
      <c r="AE128" s="97"/>
      <c r="AF128" s="98"/>
      <c r="AG128" s="98"/>
      <c r="AH128" s="98"/>
    </row>
    <row r="129" spans="1:34" ht="24.75" customHeight="1" x14ac:dyDescent="0.15">
      <c r="A129" s="99">
        <f>A47+A124+A127</f>
        <v>50</v>
      </c>
      <c r="B129" s="150" t="s">
        <v>335</v>
      </c>
      <c r="C129" s="151"/>
      <c r="D129" s="151"/>
      <c r="E129" s="151"/>
      <c r="F129" s="100"/>
      <c r="G129" s="100"/>
      <c r="H129" s="100"/>
      <c r="I129" s="100"/>
      <c r="J129" s="100"/>
      <c r="K129" s="100"/>
      <c r="L129" s="100"/>
      <c r="M129" s="100"/>
      <c r="N129" s="101">
        <f t="shared" ref="N129:S129" si="52">N47+N124</f>
        <v>11934</v>
      </c>
      <c r="O129" s="101">
        <f t="shared" si="52"/>
        <v>35802</v>
      </c>
      <c r="P129" s="101">
        <f t="shared" si="52"/>
        <v>5370.3000000000011</v>
      </c>
      <c r="Q129" s="102">
        <f t="shared" si="52"/>
        <v>41172.299999999988</v>
      </c>
      <c r="R129" s="103">
        <f t="shared" si="52"/>
        <v>1578868.1999999997</v>
      </c>
      <c r="S129" s="101">
        <f t="shared" si="52"/>
        <v>197</v>
      </c>
      <c r="T129" s="102">
        <f t="shared" ref="T129:V130" si="53">T47+T124+T127</f>
        <v>307</v>
      </c>
      <c r="U129" s="102">
        <f t="shared" si="53"/>
        <v>226</v>
      </c>
      <c r="V129" s="102">
        <f t="shared" si="53"/>
        <v>533</v>
      </c>
      <c r="W129" s="100"/>
      <c r="X129" s="101">
        <f>X47+X124+X127</f>
        <v>39</v>
      </c>
      <c r="Y129" s="101">
        <f>Y47+Y124+Y127</f>
        <v>153</v>
      </c>
      <c r="Z129" s="100"/>
      <c r="AA129" s="100"/>
      <c r="AB129" s="100"/>
      <c r="AC129" s="100"/>
      <c r="AD129" s="104"/>
      <c r="AE129" s="97"/>
      <c r="AF129" s="98"/>
      <c r="AG129" s="98"/>
      <c r="AH129" s="98"/>
    </row>
    <row r="130" spans="1:34" ht="24.75" customHeight="1" x14ac:dyDescent="0.15">
      <c r="A130" s="105">
        <f>A48+A125+A128</f>
        <v>40</v>
      </c>
      <c r="B130" s="152" t="s">
        <v>336</v>
      </c>
      <c r="C130" s="153"/>
      <c r="D130" s="153"/>
      <c r="E130" s="153"/>
      <c r="F130" s="106"/>
      <c r="G130" s="106"/>
      <c r="H130" s="106"/>
      <c r="I130" s="106"/>
      <c r="J130" s="106"/>
      <c r="K130" s="106"/>
      <c r="L130" s="106"/>
      <c r="M130" s="106"/>
      <c r="N130" s="107">
        <f t="shared" ref="N130:S130" si="54">N48+N125+N128</f>
        <v>19152</v>
      </c>
      <c r="O130" s="107">
        <f t="shared" si="54"/>
        <v>57456</v>
      </c>
      <c r="P130" s="107">
        <f t="shared" si="54"/>
        <v>8618.4000000000015</v>
      </c>
      <c r="Q130" s="108">
        <f t="shared" si="54"/>
        <v>66074.39999999998</v>
      </c>
      <c r="R130" s="109">
        <f t="shared" si="54"/>
        <v>2533809.6</v>
      </c>
      <c r="S130" s="107">
        <f t="shared" si="54"/>
        <v>258</v>
      </c>
      <c r="T130" s="108">
        <f t="shared" si="53"/>
        <v>368</v>
      </c>
      <c r="U130" s="108">
        <f t="shared" si="53"/>
        <v>398</v>
      </c>
      <c r="V130" s="108">
        <f t="shared" si="53"/>
        <v>766</v>
      </c>
      <c r="W130" s="106"/>
      <c r="X130" s="107">
        <f>X48+X125+X128</f>
        <v>19</v>
      </c>
      <c r="Y130" s="107">
        <f>Y48+Y125+Y128</f>
        <v>37</v>
      </c>
      <c r="Z130" s="106"/>
      <c r="AA130" s="106"/>
      <c r="AB130" s="106"/>
      <c r="AC130" s="106"/>
      <c r="AD130" s="110"/>
      <c r="AE130" s="97"/>
      <c r="AF130" s="98"/>
      <c r="AG130" s="98"/>
      <c r="AH130" s="98"/>
    </row>
    <row r="131" spans="1:34" ht="15.75" customHeight="1" x14ac:dyDescent="0.15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2"/>
      <c r="AC131" s="112"/>
      <c r="AD131" s="112"/>
      <c r="AE131" s="111"/>
      <c r="AF131" s="111"/>
      <c r="AG131" s="111"/>
      <c r="AH131" s="111"/>
    </row>
    <row r="132" spans="1:34" ht="15.75" customHeight="1" x14ac:dyDescent="0.15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2"/>
      <c r="AC132" s="112"/>
      <c r="AD132" s="112"/>
      <c r="AE132" s="111"/>
      <c r="AF132" s="111"/>
      <c r="AG132" s="111"/>
      <c r="AH132" s="111"/>
    </row>
    <row r="133" spans="1:34" ht="15.75" customHeight="1" x14ac:dyDescent="0.15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2"/>
      <c r="AC133" s="112"/>
      <c r="AD133" s="112"/>
      <c r="AE133" s="111"/>
      <c r="AF133" s="111"/>
      <c r="AG133" s="111"/>
      <c r="AH133" s="111"/>
    </row>
    <row r="134" spans="1:34" ht="15.75" customHeight="1" x14ac:dyDescent="0.15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2"/>
      <c r="AC134" s="112"/>
      <c r="AD134" s="112"/>
      <c r="AE134" s="111"/>
      <c r="AF134" s="111"/>
      <c r="AG134" s="111"/>
      <c r="AH134" s="111"/>
    </row>
    <row r="135" spans="1:34" ht="15.75" customHeight="1" x14ac:dyDescent="0.1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2"/>
      <c r="AC135" s="112"/>
      <c r="AD135" s="112"/>
      <c r="AE135" s="111"/>
      <c r="AF135" s="111"/>
      <c r="AG135" s="111"/>
      <c r="AH135" s="111"/>
    </row>
    <row r="136" spans="1:34" ht="15.75" customHeight="1" x14ac:dyDescent="0.15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2"/>
      <c r="AC136" s="112"/>
      <c r="AD136" s="112"/>
      <c r="AE136" s="111"/>
      <c r="AF136" s="111"/>
      <c r="AG136" s="111"/>
      <c r="AH136" s="111"/>
    </row>
    <row r="137" spans="1:34" ht="15.75" customHeight="1" x14ac:dyDescent="0.15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2"/>
      <c r="AC137" s="112"/>
      <c r="AD137" s="112"/>
      <c r="AE137" s="111"/>
      <c r="AF137" s="111"/>
      <c r="AG137" s="111"/>
      <c r="AH137" s="111"/>
    </row>
    <row r="138" spans="1:34" ht="15.75" customHeight="1" x14ac:dyDescent="0.15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2"/>
      <c r="AC138" s="112"/>
      <c r="AD138" s="112"/>
      <c r="AE138" s="111"/>
      <c r="AF138" s="111"/>
      <c r="AG138" s="111"/>
      <c r="AH138" s="111"/>
    </row>
    <row r="139" spans="1:34" ht="15.75" customHeight="1" x14ac:dyDescent="0.15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2"/>
      <c r="AC139" s="112"/>
      <c r="AD139" s="112"/>
      <c r="AE139" s="111"/>
      <c r="AF139" s="111"/>
      <c r="AG139" s="111"/>
      <c r="AH139" s="111"/>
    </row>
    <row r="140" spans="1:34" ht="15.75" customHeight="1" x14ac:dyDescent="0.15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2"/>
      <c r="AC140" s="112"/>
      <c r="AD140" s="112"/>
      <c r="AE140" s="111"/>
      <c r="AF140" s="111"/>
      <c r="AG140" s="111"/>
      <c r="AH140" s="111"/>
    </row>
    <row r="141" spans="1:34" ht="15.75" customHeight="1" x14ac:dyDescent="0.15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2"/>
      <c r="AC141" s="112"/>
      <c r="AD141" s="112"/>
      <c r="AE141" s="111"/>
      <c r="AF141" s="111"/>
      <c r="AG141" s="111"/>
      <c r="AH141" s="111"/>
    </row>
    <row r="142" spans="1:34" ht="15.75" customHeight="1" x14ac:dyDescent="0.15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2"/>
      <c r="AC142" s="112"/>
      <c r="AD142" s="112"/>
      <c r="AE142" s="111"/>
      <c r="AF142" s="111"/>
      <c r="AG142" s="111"/>
      <c r="AH142" s="111"/>
    </row>
    <row r="143" spans="1:34" ht="15.75" customHeight="1" x14ac:dyDescent="0.15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2"/>
      <c r="AC143" s="112"/>
      <c r="AD143" s="112"/>
      <c r="AE143" s="111"/>
      <c r="AF143" s="111"/>
      <c r="AG143" s="111"/>
      <c r="AH143" s="111"/>
    </row>
    <row r="144" spans="1:34" ht="15.75" customHeight="1" x14ac:dyDescent="0.15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2"/>
      <c r="AC144" s="112"/>
      <c r="AD144" s="112"/>
      <c r="AE144" s="111"/>
      <c r="AF144" s="111"/>
      <c r="AG144" s="111"/>
      <c r="AH144" s="111"/>
    </row>
    <row r="145" spans="1:34" ht="15.75" customHeight="1" x14ac:dyDescent="0.1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2"/>
      <c r="AC145" s="112"/>
      <c r="AD145" s="112"/>
      <c r="AE145" s="111"/>
      <c r="AF145" s="111"/>
      <c r="AG145" s="111"/>
      <c r="AH145" s="111"/>
    </row>
    <row r="146" spans="1:34" ht="15.75" customHeight="1" x14ac:dyDescent="0.15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2"/>
      <c r="AC146" s="112"/>
      <c r="AD146" s="112"/>
      <c r="AE146" s="111"/>
      <c r="AF146" s="111"/>
      <c r="AG146" s="111"/>
      <c r="AH146" s="111"/>
    </row>
    <row r="147" spans="1:34" ht="15.75" customHeight="1" x14ac:dyDescent="0.15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2"/>
      <c r="AC147" s="112"/>
      <c r="AD147" s="112"/>
      <c r="AE147" s="111"/>
      <c r="AF147" s="111"/>
      <c r="AG147" s="111"/>
      <c r="AH147" s="111"/>
    </row>
    <row r="148" spans="1:34" ht="15.75" customHeight="1" x14ac:dyDescent="0.15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2"/>
      <c r="AC148" s="112"/>
      <c r="AD148" s="112"/>
      <c r="AE148" s="111"/>
      <c r="AF148" s="111"/>
      <c r="AG148" s="111"/>
      <c r="AH148" s="111"/>
    </row>
    <row r="149" spans="1:34" ht="15.75" customHeight="1" x14ac:dyDescent="0.15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2"/>
      <c r="AC149" s="112"/>
      <c r="AD149" s="112"/>
      <c r="AE149" s="111"/>
      <c r="AF149" s="111"/>
      <c r="AG149" s="111"/>
      <c r="AH149" s="111"/>
    </row>
    <row r="150" spans="1:34" ht="15.75" customHeight="1" x14ac:dyDescent="0.15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2"/>
      <c r="AC150" s="112"/>
      <c r="AD150" s="112"/>
      <c r="AE150" s="111"/>
      <c r="AF150" s="111"/>
      <c r="AG150" s="111"/>
      <c r="AH150" s="111"/>
    </row>
    <row r="151" spans="1:34" ht="15.75" customHeight="1" x14ac:dyDescent="0.15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2"/>
      <c r="AC151" s="112"/>
      <c r="AD151" s="112"/>
      <c r="AE151" s="111"/>
      <c r="AF151" s="111"/>
      <c r="AG151" s="111"/>
      <c r="AH151" s="111"/>
    </row>
    <row r="152" spans="1:34" ht="15.75" customHeight="1" x14ac:dyDescent="0.15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2"/>
      <c r="AC152" s="112"/>
      <c r="AD152" s="112"/>
      <c r="AE152" s="111"/>
      <c r="AF152" s="111"/>
      <c r="AG152" s="111"/>
      <c r="AH152" s="111"/>
    </row>
    <row r="153" spans="1:34" ht="15.75" customHeight="1" x14ac:dyDescent="0.15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2"/>
      <c r="AC153" s="112"/>
      <c r="AD153" s="112"/>
      <c r="AE153" s="111"/>
      <c r="AF153" s="111"/>
      <c r="AG153" s="111"/>
      <c r="AH153" s="111"/>
    </row>
    <row r="154" spans="1:34" ht="15.75" customHeight="1" x14ac:dyDescent="0.15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2"/>
      <c r="AC154" s="112"/>
      <c r="AD154" s="112"/>
      <c r="AE154" s="111"/>
      <c r="AF154" s="111"/>
      <c r="AG154" s="111"/>
      <c r="AH154" s="111"/>
    </row>
    <row r="155" spans="1:34" ht="15.75" customHeight="1" x14ac:dyDescent="0.1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2"/>
      <c r="AC155" s="112"/>
      <c r="AD155" s="112"/>
      <c r="AE155" s="111"/>
      <c r="AF155" s="111"/>
      <c r="AG155" s="111"/>
      <c r="AH155" s="111"/>
    </row>
    <row r="156" spans="1:34" ht="15.75" customHeight="1" x14ac:dyDescent="0.15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2"/>
      <c r="AC156" s="112"/>
      <c r="AD156" s="112"/>
      <c r="AE156" s="111"/>
      <c r="AF156" s="111"/>
      <c r="AG156" s="111"/>
      <c r="AH156" s="111"/>
    </row>
    <row r="157" spans="1:34" ht="15.75" customHeight="1" x14ac:dyDescent="0.15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2"/>
      <c r="AC157" s="112"/>
      <c r="AD157" s="112"/>
      <c r="AE157" s="111"/>
      <c r="AF157" s="111"/>
      <c r="AG157" s="111"/>
      <c r="AH157" s="111"/>
    </row>
    <row r="158" spans="1:34" ht="15.75" customHeight="1" x14ac:dyDescent="0.15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2"/>
      <c r="AC158" s="112"/>
      <c r="AD158" s="112"/>
      <c r="AE158" s="111"/>
      <c r="AF158" s="111"/>
      <c r="AG158" s="111"/>
      <c r="AH158" s="111"/>
    </row>
    <row r="159" spans="1:34" ht="15.75" customHeight="1" x14ac:dyDescent="0.15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2"/>
      <c r="AC159" s="112"/>
      <c r="AD159" s="112"/>
      <c r="AE159" s="111"/>
      <c r="AF159" s="111"/>
      <c r="AG159" s="111"/>
      <c r="AH159" s="111"/>
    </row>
    <row r="160" spans="1:34" ht="15.75" customHeight="1" x14ac:dyDescent="0.15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2"/>
      <c r="AC160" s="112"/>
      <c r="AD160" s="112"/>
      <c r="AE160" s="111"/>
      <c r="AF160" s="111"/>
      <c r="AG160" s="111"/>
      <c r="AH160" s="111"/>
    </row>
    <row r="161" spans="1:34" ht="15.75" customHeight="1" x14ac:dyDescent="0.15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2"/>
      <c r="AC161" s="112"/>
      <c r="AD161" s="112"/>
      <c r="AE161" s="111"/>
      <c r="AF161" s="111"/>
      <c r="AG161" s="111"/>
      <c r="AH161" s="111"/>
    </row>
    <row r="162" spans="1:34" ht="15.75" customHeight="1" x14ac:dyDescent="0.15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2"/>
      <c r="AC162" s="112"/>
      <c r="AD162" s="112"/>
      <c r="AE162" s="111"/>
      <c r="AF162" s="111"/>
      <c r="AG162" s="111"/>
      <c r="AH162" s="111"/>
    </row>
    <row r="163" spans="1:34" ht="15.75" customHeight="1" x14ac:dyDescent="0.15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2"/>
      <c r="AC163" s="112"/>
      <c r="AD163" s="112"/>
      <c r="AE163" s="111"/>
      <c r="AF163" s="111"/>
      <c r="AG163" s="111"/>
      <c r="AH163" s="111"/>
    </row>
    <row r="164" spans="1:34" ht="15.75" customHeight="1" x14ac:dyDescent="0.15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2"/>
      <c r="AC164" s="112"/>
      <c r="AD164" s="112"/>
      <c r="AE164" s="111"/>
      <c r="AF164" s="111"/>
      <c r="AG164" s="111"/>
      <c r="AH164" s="111"/>
    </row>
    <row r="165" spans="1:34" ht="15.75" customHeight="1" x14ac:dyDescent="0.1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2"/>
      <c r="AC165" s="112"/>
      <c r="AD165" s="112"/>
      <c r="AE165" s="111"/>
      <c r="AF165" s="111"/>
      <c r="AG165" s="111"/>
      <c r="AH165" s="111"/>
    </row>
    <row r="166" spans="1:34" ht="15.75" customHeight="1" x14ac:dyDescent="0.15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2"/>
      <c r="AC166" s="112"/>
      <c r="AD166" s="112"/>
      <c r="AE166" s="111"/>
      <c r="AF166" s="111"/>
      <c r="AG166" s="111"/>
      <c r="AH166" s="111"/>
    </row>
    <row r="167" spans="1:34" ht="15.75" customHeight="1" x14ac:dyDescent="0.15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2"/>
      <c r="AC167" s="112"/>
      <c r="AD167" s="112"/>
      <c r="AE167" s="111"/>
      <c r="AF167" s="111"/>
      <c r="AG167" s="111"/>
      <c r="AH167" s="111"/>
    </row>
    <row r="168" spans="1:34" ht="15.75" customHeight="1" x14ac:dyDescent="0.15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2"/>
      <c r="AC168" s="112"/>
      <c r="AD168" s="112"/>
      <c r="AE168" s="111"/>
      <c r="AF168" s="111"/>
      <c r="AG168" s="111"/>
      <c r="AH168" s="111"/>
    </row>
    <row r="169" spans="1:34" ht="15.75" customHeight="1" x14ac:dyDescent="0.15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2"/>
      <c r="AC169" s="112"/>
      <c r="AD169" s="112"/>
      <c r="AE169" s="111"/>
      <c r="AF169" s="111"/>
      <c r="AG169" s="111"/>
      <c r="AH169" s="111"/>
    </row>
    <row r="170" spans="1:34" ht="15.75" customHeight="1" x14ac:dyDescent="0.15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2"/>
      <c r="AC170" s="112"/>
      <c r="AD170" s="112"/>
      <c r="AE170" s="111"/>
      <c r="AF170" s="111"/>
      <c r="AG170" s="111"/>
      <c r="AH170" s="111"/>
    </row>
    <row r="171" spans="1:34" ht="15.75" customHeight="1" x14ac:dyDescent="0.15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2"/>
      <c r="AC171" s="112"/>
      <c r="AD171" s="112"/>
      <c r="AE171" s="111"/>
      <c r="AF171" s="111"/>
      <c r="AG171" s="111"/>
      <c r="AH171" s="111"/>
    </row>
    <row r="172" spans="1:34" ht="15.75" customHeight="1" x14ac:dyDescent="0.15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2"/>
      <c r="AC172" s="112"/>
      <c r="AD172" s="112"/>
      <c r="AE172" s="111"/>
      <c r="AF172" s="111"/>
      <c r="AG172" s="111"/>
      <c r="AH172" s="111"/>
    </row>
    <row r="173" spans="1:34" ht="15.75" customHeight="1" x14ac:dyDescent="0.15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2"/>
      <c r="AC173" s="112"/>
      <c r="AD173" s="112"/>
      <c r="AE173" s="111"/>
      <c r="AF173" s="111"/>
      <c r="AG173" s="111"/>
      <c r="AH173" s="111"/>
    </row>
    <row r="174" spans="1:34" ht="15.75" customHeight="1" x14ac:dyDescent="0.15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2"/>
      <c r="AC174" s="112"/>
      <c r="AD174" s="112"/>
      <c r="AE174" s="111"/>
      <c r="AF174" s="111"/>
      <c r="AG174" s="111"/>
      <c r="AH174" s="111"/>
    </row>
    <row r="175" spans="1:34" ht="15.75" customHeight="1" x14ac:dyDescent="0.1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2"/>
      <c r="AC175" s="112"/>
      <c r="AD175" s="112"/>
      <c r="AE175" s="111"/>
      <c r="AF175" s="111"/>
      <c r="AG175" s="111"/>
      <c r="AH175" s="111"/>
    </row>
    <row r="176" spans="1:34" ht="15.75" customHeight="1" x14ac:dyDescent="0.15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2"/>
      <c r="AC176" s="112"/>
      <c r="AD176" s="112"/>
      <c r="AE176" s="111"/>
      <c r="AF176" s="111"/>
      <c r="AG176" s="111"/>
      <c r="AH176" s="111"/>
    </row>
    <row r="177" spans="1:34" ht="15.75" customHeight="1" x14ac:dyDescent="0.15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2"/>
      <c r="AC177" s="112"/>
      <c r="AD177" s="112"/>
      <c r="AE177" s="111"/>
      <c r="AF177" s="111"/>
      <c r="AG177" s="111"/>
      <c r="AH177" s="111"/>
    </row>
    <row r="178" spans="1:34" ht="15.75" customHeight="1" x14ac:dyDescent="0.15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2"/>
      <c r="AC178" s="112"/>
      <c r="AD178" s="112"/>
      <c r="AE178" s="111"/>
      <c r="AF178" s="111"/>
      <c r="AG178" s="111"/>
      <c r="AH178" s="111"/>
    </row>
    <row r="179" spans="1:34" ht="15.75" customHeight="1" x14ac:dyDescent="0.15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2"/>
      <c r="AC179" s="112"/>
      <c r="AD179" s="112"/>
      <c r="AE179" s="111"/>
      <c r="AF179" s="111"/>
      <c r="AG179" s="111"/>
      <c r="AH179" s="111"/>
    </row>
    <row r="180" spans="1:34" ht="15.75" customHeight="1" x14ac:dyDescent="0.15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2"/>
      <c r="AC180" s="112"/>
      <c r="AD180" s="112"/>
      <c r="AE180" s="111"/>
      <c r="AF180" s="111"/>
      <c r="AG180" s="111"/>
      <c r="AH180" s="111"/>
    </row>
    <row r="181" spans="1:34" ht="15.75" customHeight="1" x14ac:dyDescent="0.15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2"/>
      <c r="AC181" s="112"/>
      <c r="AD181" s="112"/>
      <c r="AE181" s="111"/>
      <c r="AF181" s="111"/>
      <c r="AG181" s="111"/>
      <c r="AH181" s="111"/>
    </row>
    <row r="182" spans="1:34" ht="15.75" customHeight="1" x14ac:dyDescent="0.15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2"/>
      <c r="AC182" s="112"/>
      <c r="AD182" s="112"/>
      <c r="AE182" s="111"/>
      <c r="AF182" s="111"/>
      <c r="AG182" s="111"/>
      <c r="AH182" s="111"/>
    </row>
    <row r="183" spans="1:34" ht="15.75" customHeight="1" x14ac:dyDescent="0.15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2"/>
      <c r="AC183" s="112"/>
      <c r="AD183" s="112"/>
      <c r="AE183" s="111"/>
      <c r="AF183" s="111"/>
      <c r="AG183" s="111"/>
      <c r="AH183" s="111"/>
    </row>
    <row r="184" spans="1:34" ht="15.75" customHeight="1" x14ac:dyDescent="0.15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2"/>
      <c r="AC184" s="112"/>
      <c r="AD184" s="112"/>
      <c r="AE184" s="111"/>
      <c r="AF184" s="111"/>
      <c r="AG184" s="111"/>
      <c r="AH184" s="111"/>
    </row>
    <row r="185" spans="1:34" ht="15.75" customHeight="1" x14ac:dyDescent="0.1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2"/>
      <c r="AC185" s="112"/>
      <c r="AD185" s="112"/>
      <c r="AE185" s="111"/>
      <c r="AF185" s="111"/>
      <c r="AG185" s="111"/>
      <c r="AH185" s="111"/>
    </row>
    <row r="186" spans="1:34" ht="15.75" customHeight="1" x14ac:dyDescent="0.15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2"/>
      <c r="AC186" s="112"/>
      <c r="AD186" s="112"/>
      <c r="AE186" s="111"/>
      <c r="AF186" s="111"/>
      <c r="AG186" s="111"/>
      <c r="AH186" s="111"/>
    </row>
    <row r="187" spans="1:34" ht="15.75" customHeight="1" x14ac:dyDescent="0.15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2"/>
      <c r="AC187" s="112"/>
      <c r="AD187" s="112"/>
      <c r="AE187" s="111"/>
      <c r="AF187" s="111"/>
      <c r="AG187" s="111"/>
      <c r="AH187" s="111"/>
    </row>
    <row r="188" spans="1:34" ht="15.75" customHeight="1" x14ac:dyDescent="0.15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2"/>
      <c r="AC188" s="112"/>
      <c r="AD188" s="112"/>
      <c r="AE188" s="111"/>
      <c r="AF188" s="111"/>
      <c r="AG188" s="111"/>
      <c r="AH188" s="111"/>
    </row>
    <row r="189" spans="1:34" ht="15.75" customHeight="1" x14ac:dyDescent="0.15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2"/>
      <c r="AC189" s="112"/>
      <c r="AD189" s="112"/>
      <c r="AE189" s="111"/>
      <c r="AF189" s="111"/>
      <c r="AG189" s="111"/>
      <c r="AH189" s="111"/>
    </row>
    <row r="190" spans="1:34" ht="15.75" customHeight="1" x14ac:dyDescent="0.15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2"/>
      <c r="AC190" s="112"/>
      <c r="AD190" s="112"/>
      <c r="AE190" s="111"/>
      <c r="AF190" s="111"/>
      <c r="AG190" s="111"/>
      <c r="AH190" s="111"/>
    </row>
    <row r="191" spans="1:34" ht="15.75" customHeight="1" x14ac:dyDescent="0.15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2"/>
      <c r="AC191" s="112"/>
      <c r="AD191" s="112"/>
      <c r="AE191" s="111"/>
      <c r="AF191" s="111"/>
      <c r="AG191" s="111"/>
      <c r="AH191" s="111"/>
    </row>
    <row r="192" spans="1:34" ht="15.75" customHeight="1" x14ac:dyDescent="0.15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2"/>
      <c r="AC192" s="112"/>
      <c r="AD192" s="112"/>
      <c r="AE192" s="111"/>
      <c r="AF192" s="111"/>
      <c r="AG192" s="111"/>
      <c r="AH192" s="111"/>
    </row>
    <row r="193" spans="1:34" ht="15.75" customHeight="1" x14ac:dyDescent="0.15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2"/>
      <c r="AC193" s="112"/>
      <c r="AD193" s="112"/>
      <c r="AE193" s="111"/>
      <c r="AF193" s="111"/>
      <c r="AG193" s="111"/>
      <c r="AH193" s="111"/>
    </row>
    <row r="194" spans="1:34" ht="15.75" customHeight="1" x14ac:dyDescent="0.15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2"/>
      <c r="AC194" s="112"/>
      <c r="AD194" s="112"/>
      <c r="AE194" s="111"/>
      <c r="AF194" s="111"/>
      <c r="AG194" s="111"/>
      <c r="AH194" s="111"/>
    </row>
    <row r="195" spans="1:34" ht="15.75" customHeight="1" x14ac:dyDescent="0.1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2"/>
      <c r="AC195" s="112"/>
      <c r="AD195" s="112"/>
      <c r="AE195" s="111"/>
      <c r="AF195" s="111"/>
      <c r="AG195" s="111"/>
      <c r="AH195" s="111"/>
    </row>
    <row r="196" spans="1:34" ht="15.75" customHeight="1" x14ac:dyDescent="0.15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2"/>
      <c r="AC196" s="112"/>
      <c r="AD196" s="112"/>
      <c r="AE196" s="111"/>
      <c r="AF196" s="111"/>
      <c r="AG196" s="111"/>
      <c r="AH196" s="111"/>
    </row>
    <row r="197" spans="1:34" ht="15.75" customHeight="1" x14ac:dyDescent="0.15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2"/>
      <c r="AC197" s="112"/>
      <c r="AD197" s="112"/>
      <c r="AE197" s="111"/>
      <c r="AF197" s="111"/>
      <c r="AG197" s="111"/>
      <c r="AH197" s="111"/>
    </row>
    <row r="198" spans="1:34" ht="15.75" customHeight="1" x14ac:dyDescent="0.15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2"/>
      <c r="AC198" s="112"/>
      <c r="AD198" s="112"/>
      <c r="AE198" s="111"/>
      <c r="AF198" s="111"/>
      <c r="AG198" s="111"/>
      <c r="AH198" s="111"/>
    </row>
    <row r="199" spans="1:34" ht="15.75" customHeight="1" x14ac:dyDescent="0.15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2"/>
      <c r="AC199" s="112"/>
      <c r="AD199" s="112"/>
      <c r="AE199" s="111"/>
      <c r="AF199" s="111"/>
      <c r="AG199" s="111"/>
      <c r="AH199" s="111"/>
    </row>
    <row r="200" spans="1:34" ht="15.75" customHeight="1" x14ac:dyDescent="0.15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2"/>
      <c r="AC200" s="112"/>
      <c r="AD200" s="112"/>
      <c r="AE200" s="111"/>
      <c r="AF200" s="111"/>
      <c r="AG200" s="111"/>
      <c r="AH200" s="111"/>
    </row>
    <row r="201" spans="1:34" ht="15.75" customHeight="1" x14ac:dyDescent="0.15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2"/>
      <c r="AC201" s="112"/>
      <c r="AD201" s="112"/>
      <c r="AE201" s="111"/>
      <c r="AF201" s="111"/>
      <c r="AG201" s="111"/>
      <c r="AH201" s="111"/>
    </row>
    <row r="202" spans="1:34" ht="15.75" customHeight="1" x14ac:dyDescent="0.15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2"/>
      <c r="AC202" s="112"/>
      <c r="AD202" s="112"/>
      <c r="AE202" s="111"/>
      <c r="AF202" s="111"/>
      <c r="AG202" s="111"/>
      <c r="AH202" s="111"/>
    </row>
    <row r="203" spans="1:34" ht="15.75" customHeight="1" x14ac:dyDescent="0.15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2"/>
      <c r="AC203" s="112"/>
      <c r="AD203" s="112"/>
      <c r="AE203" s="111"/>
      <c r="AF203" s="111"/>
      <c r="AG203" s="111"/>
      <c r="AH203" s="111"/>
    </row>
    <row r="204" spans="1:34" ht="15.75" customHeight="1" x14ac:dyDescent="0.15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2"/>
      <c r="AC204" s="112"/>
      <c r="AD204" s="112"/>
      <c r="AE204" s="111"/>
      <c r="AF204" s="111"/>
      <c r="AG204" s="111"/>
      <c r="AH204" s="111"/>
    </row>
    <row r="205" spans="1:34" ht="15.75" customHeight="1" x14ac:dyDescent="0.1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2"/>
      <c r="AC205" s="112"/>
      <c r="AD205" s="112"/>
      <c r="AE205" s="111"/>
      <c r="AF205" s="111"/>
      <c r="AG205" s="111"/>
      <c r="AH205" s="111"/>
    </row>
    <row r="206" spans="1:34" ht="15.75" customHeight="1" x14ac:dyDescent="0.15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2"/>
      <c r="AC206" s="112"/>
      <c r="AD206" s="112"/>
      <c r="AE206" s="111"/>
      <c r="AF206" s="111"/>
      <c r="AG206" s="111"/>
      <c r="AH206" s="111"/>
    </row>
    <row r="207" spans="1:34" ht="15.75" customHeight="1" x14ac:dyDescent="0.15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2"/>
      <c r="AC207" s="112"/>
      <c r="AD207" s="112"/>
      <c r="AE207" s="111"/>
      <c r="AF207" s="111"/>
      <c r="AG207" s="111"/>
      <c r="AH207" s="111"/>
    </row>
    <row r="208" spans="1:34" ht="15.75" customHeight="1" x14ac:dyDescent="0.15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2"/>
      <c r="AC208" s="112"/>
      <c r="AD208" s="112"/>
      <c r="AE208" s="111"/>
      <c r="AF208" s="111"/>
      <c r="AG208" s="111"/>
      <c r="AH208" s="111"/>
    </row>
    <row r="209" spans="1:34" ht="15.75" customHeight="1" x14ac:dyDescent="0.15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2"/>
      <c r="AC209" s="112"/>
      <c r="AD209" s="112"/>
      <c r="AE209" s="111"/>
      <c r="AF209" s="111"/>
      <c r="AG209" s="111"/>
      <c r="AH209" s="111"/>
    </row>
    <row r="210" spans="1:34" ht="15.75" customHeight="1" x14ac:dyDescent="0.15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2"/>
      <c r="AC210" s="112"/>
      <c r="AD210" s="112"/>
      <c r="AE210" s="111"/>
      <c r="AF210" s="111"/>
      <c r="AG210" s="111"/>
      <c r="AH210" s="111"/>
    </row>
    <row r="211" spans="1:34" ht="15.75" customHeight="1" x14ac:dyDescent="0.15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2"/>
      <c r="AC211" s="112"/>
      <c r="AD211" s="112"/>
      <c r="AE211" s="111"/>
      <c r="AF211" s="111"/>
      <c r="AG211" s="111"/>
      <c r="AH211" s="111"/>
    </row>
    <row r="212" spans="1:34" ht="15.75" customHeight="1" x14ac:dyDescent="0.15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2"/>
      <c r="AC212" s="112"/>
      <c r="AD212" s="112"/>
      <c r="AE212" s="111"/>
      <c r="AF212" s="111"/>
      <c r="AG212" s="111"/>
      <c r="AH212" s="111"/>
    </row>
    <row r="213" spans="1:34" ht="15.75" customHeight="1" x14ac:dyDescent="0.15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2"/>
      <c r="AC213" s="112"/>
      <c r="AD213" s="112"/>
      <c r="AE213" s="111"/>
      <c r="AF213" s="111"/>
      <c r="AG213" s="111"/>
      <c r="AH213" s="111"/>
    </row>
    <row r="214" spans="1:34" ht="15.75" customHeight="1" x14ac:dyDescent="0.15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2"/>
      <c r="AC214" s="112"/>
      <c r="AD214" s="112"/>
      <c r="AE214" s="111"/>
      <c r="AF214" s="111"/>
      <c r="AG214" s="111"/>
      <c r="AH214" s="111"/>
    </row>
    <row r="215" spans="1:34" ht="15.75" customHeight="1" x14ac:dyDescent="0.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2"/>
      <c r="AC215" s="112"/>
      <c r="AD215" s="112"/>
      <c r="AE215" s="111"/>
      <c r="AF215" s="111"/>
      <c r="AG215" s="111"/>
      <c r="AH215" s="111"/>
    </row>
    <row r="216" spans="1:34" ht="15.75" customHeight="1" x14ac:dyDescent="0.15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2"/>
      <c r="AC216" s="112"/>
      <c r="AD216" s="112"/>
      <c r="AE216" s="111"/>
      <c r="AF216" s="111"/>
      <c r="AG216" s="111"/>
      <c r="AH216" s="111"/>
    </row>
    <row r="217" spans="1:34" ht="15.75" customHeight="1" x14ac:dyDescent="0.15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2"/>
      <c r="AC217" s="112"/>
      <c r="AD217" s="112"/>
      <c r="AE217" s="111"/>
      <c r="AF217" s="111"/>
      <c r="AG217" s="111"/>
      <c r="AH217" s="111"/>
    </row>
    <row r="218" spans="1:34" ht="15.75" customHeight="1" x14ac:dyDescent="0.15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2"/>
      <c r="AC218" s="112"/>
      <c r="AD218" s="112"/>
      <c r="AE218" s="111"/>
      <c r="AF218" s="111"/>
      <c r="AG218" s="111"/>
      <c r="AH218" s="111"/>
    </row>
    <row r="219" spans="1:34" ht="15.75" customHeight="1" x14ac:dyDescent="0.15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2"/>
      <c r="AC219" s="112"/>
      <c r="AD219" s="112"/>
      <c r="AE219" s="111"/>
      <c r="AF219" s="111"/>
      <c r="AG219" s="111"/>
      <c r="AH219" s="111"/>
    </row>
    <row r="220" spans="1:34" ht="15.75" customHeight="1" x14ac:dyDescent="0.15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2"/>
      <c r="AC220" s="112"/>
      <c r="AD220" s="112"/>
      <c r="AE220" s="111"/>
      <c r="AF220" s="111"/>
      <c r="AG220" s="111"/>
      <c r="AH220" s="111"/>
    </row>
    <row r="221" spans="1:34" ht="15.75" customHeight="1" x14ac:dyDescent="0.15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2"/>
      <c r="AC221" s="112"/>
      <c r="AD221" s="112"/>
      <c r="AE221" s="111"/>
      <c r="AF221" s="111"/>
      <c r="AG221" s="111"/>
      <c r="AH221" s="111"/>
    </row>
    <row r="222" spans="1:34" ht="15.75" customHeight="1" x14ac:dyDescent="0.15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2"/>
      <c r="AC222" s="112"/>
      <c r="AD222" s="112"/>
      <c r="AE222" s="111"/>
      <c r="AF222" s="111"/>
      <c r="AG222" s="111"/>
      <c r="AH222" s="111"/>
    </row>
    <row r="223" spans="1:34" ht="15.75" customHeight="1" x14ac:dyDescent="0.15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2"/>
      <c r="AC223" s="112"/>
      <c r="AD223" s="112"/>
      <c r="AE223" s="111"/>
      <c r="AF223" s="111"/>
      <c r="AG223" s="111"/>
      <c r="AH223" s="111"/>
    </row>
    <row r="224" spans="1:34" ht="15.75" customHeight="1" x14ac:dyDescent="0.15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2"/>
      <c r="AC224" s="112"/>
      <c r="AD224" s="112"/>
      <c r="AE224" s="111"/>
      <c r="AF224" s="111"/>
      <c r="AG224" s="111"/>
      <c r="AH224" s="111"/>
    </row>
    <row r="225" spans="1:34" ht="15.75" customHeight="1" x14ac:dyDescent="0.1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2"/>
      <c r="AC225" s="112"/>
      <c r="AD225" s="112"/>
      <c r="AE225" s="111"/>
      <c r="AF225" s="111"/>
      <c r="AG225" s="111"/>
      <c r="AH225" s="111"/>
    </row>
    <row r="226" spans="1:34" ht="15.75" customHeight="1" x14ac:dyDescent="0.15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2"/>
      <c r="AC226" s="112"/>
      <c r="AD226" s="112"/>
      <c r="AE226" s="111"/>
      <c r="AF226" s="111"/>
      <c r="AG226" s="111"/>
      <c r="AH226" s="111"/>
    </row>
    <row r="227" spans="1:34" ht="15.75" customHeight="1" x14ac:dyDescent="0.15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2"/>
      <c r="AC227" s="112"/>
      <c r="AD227" s="112"/>
      <c r="AE227" s="111"/>
      <c r="AF227" s="111"/>
      <c r="AG227" s="111"/>
      <c r="AH227" s="111"/>
    </row>
    <row r="228" spans="1:34" ht="15.75" customHeight="1" x14ac:dyDescent="0.15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2"/>
      <c r="AC228" s="112"/>
      <c r="AD228" s="112"/>
      <c r="AE228" s="111"/>
      <c r="AF228" s="111"/>
      <c r="AG228" s="111"/>
      <c r="AH228" s="111"/>
    </row>
    <row r="229" spans="1:34" ht="15.75" customHeight="1" x14ac:dyDescent="0.15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2"/>
      <c r="AC229" s="112"/>
      <c r="AD229" s="112"/>
      <c r="AE229" s="111"/>
      <c r="AF229" s="111"/>
      <c r="AG229" s="111"/>
      <c r="AH229" s="111"/>
    </row>
    <row r="230" spans="1:34" ht="15.75" customHeight="1" x14ac:dyDescent="0.15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2"/>
      <c r="AC230" s="112"/>
      <c r="AD230" s="112"/>
      <c r="AE230" s="111"/>
      <c r="AF230" s="111"/>
      <c r="AG230" s="111"/>
      <c r="AH230" s="111"/>
    </row>
    <row r="231" spans="1:34" ht="15.75" customHeight="1" x14ac:dyDescent="0.15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2"/>
      <c r="AC231" s="112"/>
      <c r="AD231" s="112"/>
      <c r="AE231" s="111"/>
      <c r="AF231" s="111"/>
      <c r="AG231" s="111"/>
      <c r="AH231" s="111"/>
    </row>
    <row r="232" spans="1:34" ht="15.75" customHeight="1" x14ac:dyDescent="0.15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2"/>
      <c r="AC232" s="112"/>
      <c r="AD232" s="112"/>
      <c r="AE232" s="111"/>
      <c r="AF232" s="111"/>
      <c r="AG232" s="111"/>
      <c r="AH232" s="111"/>
    </row>
    <row r="233" spans="1:34" ht="15.75" customHeight="1" x14ac:dyDescent="0.15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2"/>
      <c r="AC233" s="112"/>
      <c r="AD233" s="112"/>
      <c r="AE233" s="111"/>
      <c r="AF233" s="111"/>
      <c r="AG233" s="111"/>
      <c r="AH233" s="111"/>
    </row>
    <row r="234" spans="1:34" ht="15.75" customHeight="1" x14ac:dyDescent="0.15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2"/>
      <c r="AC234" s="112"/>
      <c r="AD234" s="112"/>
      <c r="AE234" s="111"/>
      <c r="AF234" s="111"/>
      <c r="AG234" s="111"/>
      <c r="AH234" s="111"/>
    </row>
    <row r="235" spans="1:34" ht="15.75" customHeight="1" x14ac:dyDescent="0.1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2"/>
      <c r="AC235" s="112"/>
      <c r="AD235" s="112"/>
      <c r="AE235" s="111"/>
      <c r="AF235" s="111"/>
      <c r="AG235" s="111"/>
      <c r="AH235" s="111"/>
    </row>
    <row r="236" spans="1:34" ht="15.75" customHeight="1" x14ac:dyDescent="0.15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2"/>
      <c r="AC236" s="112"/>
      <c r="AD236" s="112"/>
      <c r="AE236" s="111"/>
      <c r="AF236" s="111"/>
      <c r="AG236" s="111"/>
      <c r="AH236" s="111"/>
    </row>
    <row r="237" spans="1:34" ht="15.75" customHeight="1" x14ac:dyDescent="0.15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2"/>
      <c r="AC237" s="112"/>
      <c r="AD237" s="112"/>
      <c r="AE237" s="111"/>
      <c r="AF237" s="111"/>
      <c r="AG237" s="111"/>
      <c r="AH237" s="111"/>
    </row>
    <row r="238" spans="1:34" ht="15.75" customHeight="1" x14ac:dyDescent="0.15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2"/>
      <c r="AC238" s="112"/>
      <c r="AD238" s="112"/>
      <c r="AE238" s="111"/>
      <c r="AF238" s="111"/>
      <c r="AG238" s="111"/>
      <c r="AH238" s="111"/>
    </row>
    <row r="239" spans="1:34" ht="15.75" customHeight="1" x14ac:dyDescent="0.15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2"/>
      <c r="AC239" s="112"/>
      <c r="AD239" s="112"/>
      <c r="AE239" s="111"/>
      <c r="AF239" s="111"/>
      <c r="AG239" s="111"/>
      <c r="AH239" s="111"/>
    </row>
    <row r="240" spans="1:34" ht="15.75" customHeight="1" x14ac:dyDescent="0.15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2"/>
      <c r="AC240" s="112"/>
      <c r="AD240" s="112"/>
      <c r="AE240" s="111"/>
      <c r="AF240" s="111"/>
      <c r="AG240" s="111"/>
      <c r="AH240" s="111"/>
    </row>
    <row r="241" spans="1:34" ht="15.75" customHeight="1" x14ac:dyDescent="0.15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2"/>
      <c r="AC241" s="112"/>
      <c r="AD241" s="112"/>
      <c r="AE241" s="111"/>
      <c r="AF241" s="111"/>
      <c r="AG241" s="111"/>
      <c r="AH241" s="111"/>
    </row>
    <row r="242" spans="1:34" ht="15.75" customHeight="1" x14ac:dyDescent="0.15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2"/>
      <c r="AC242" s="112"/>
      <c r="AD242" s="112"/>
      <c r="AE242" s="111"/>
      <c r="AF242" s="111"/>
      <c r="AG242" s="111"/>
      <c r="AH242" s="111"/>
    </row>
    <row r="243" spans="1:34" ht="15.75" customHeight="1" x14ac:dyDescent="0.15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2"/>
      <c r="AC243" s="112"/>
      <c r="AD243" s="112"/>
      <c r="AE243" s="111"/>
      <c r="AF243" s="111"/>
      <c r="AG243" s="111"/>
      <c r="AH243" s="111"/>
    </row>
    <row r="244" spans="1:34" ht="15.75" customHeight="1" x14ac:dyDescent="0.15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2"/>
      <c r="AC244" s="112"/>
      <c r="AD244" s="112"/>
      <c r="AE244" s="111"/>
      <c r="AF244" s="111"/>
      <c r="AG244" s="111"/>
      <c r="AH244" s="111"/>
    </row>
    <row r="245" spans="1:34" ht="15.75" customHeight="1" x14ac:dyDescent="0.1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2"/>
      <c r="AC245" s="112"/>
      <c r="AD245" s="112"/>
      <c r="AE245" s="111"/>
      <c r="AF245" s="111"/>
      <c r="AG245" s="111"/>
      <c r="AH245" s="111"/>
    </row>
    <row r="246" spans="1:34" ht="15.75" customHeight="1" x14ac:dyDescent="0.15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2"/>
      <c r="AC246" s="112"/>
      <c r="AD246" s="112"/>
      <c r="AE246" s="111"/>
      <c r="AF246" s="111"/>
      <c r="AG246" s="111"/>
      <c r="AH246" s="111"/>
    </row>
    <row r="247" spans="1:34" ht="15.75" customHeight="1" x14ac:dyDescent="0.15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2"/>
      <c r="AC247" s="112"/>
      <c r="AD247" s="112"/>
      <c r="AE247" s="111"/>
      <c r="AF247" s="111"/>
      <c r="AG247" s="111"/>
      <c r="AH247" s="111"/>
    </row>
    <row r="248" spans="1:34" ht="15.75" customHeight="1" x14ac:dyDescent="0.15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2"/>
      <c r="AC248" s="112"/>
      <c r="AD248" s="112"/>
      <c r="AE248" s="111"/>
      <c r="AF248" s="111"/>
      <c r="AG248" s="111"/>
      <c r="AH248" s="111"/>
    </row>
    <row r="249" spans="1:34" ht="15.75" customHeight="1" x14ac:dyDescent="0.15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2"/>
      <c r="AC249" s="112"/>
      <c r="AD249" s="112"/>
      <c r="AE249" s="111"/>
      <c r="AF249" s="111"/>
      <c r="AG249" s="111"/>
      <c r="AH249" s="111"/>
    </row>
    <row r="250" spans="1:34" ht="15.75" customHeight="1" x14ac:dyDescent="0.15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2"/>
      <c r="AC250" s="112"/>
      <c r="AD250" s="112"/>
      <c r="AE250" s="111"/>
      <c r="AF250" s="111"/>
      <c r="AG250" s="111"/>
      <c r="AH250" s="111"/>
    </row>
    <row r="251" spans="1:34" ht="15.75" customHeight="1" x14ac:dyDescent="0.15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2"/>
      <c r="AC251" s="112"/>
      <c r="AD251" s="112"/>
      <c r="AE251" s="111"/>
      <c r="AF251" s="111"/>
      <c r="AG251" s="111"/>
      <c r="AH251" s="111"/>
    </row>
    <row r="252" spans="1:34" ht="15.75" customHeight="1" x14ac:dyDescent="0.15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2"/>
      <c r="AC252" s="112"/>
      <c r="AD252" s="112"/>
      <c r="AE252" s="111"/>
      <c r="AF252" s="111"/>
      <c r="AG252" s="111"/>
      <c r="AH252" s="111"/>
    </row>
    <row r="253" spans="1:34" ht="15.75" customHeight="1" x14ac:dyDescent="0.15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2"/>
      <c r="AC253" s="112"/>
      <c r="AD253" s="112"/>
      <c r="AE253" s="111"/>
      <c r="AF253" s="111"/>
      <c r="AG253" s="111"/>
      <c r="AH253" s="111"/>
    </row>
    <row r="254" spans="1:34" ht="15.75" customHeight="1" x14ac:dyDescent="0.15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2"/>
      <c r="AC254" s="112"/>
      <c r="AD254" s="112"/>
      <c r="AE254" s="111"/>
      <c r="AF254" s="111"/>
      <c r="AG254" s="111"/>
      <c r="AH254" s="111"/>
    </row>
    <row r="255" spans="1:34" ht="15.75" customHeight="1" x14ac:dyDescent="0.1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2"/>
      <c r="AC255" s="112"/>
      <c r="AD255" s="112"/>
      <c r="AE255" s="111"/>
      <c r="AF255" s="111"/>
      <c r="AG255" s="111"/>
      <c r="AH255" s="111"/>
    </row>
    <row r="256" spans="1:34" ht="15.75" customHeight="1" x14ac:dyDescent="0.15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2"/>
      <c r="AC256" s="112"/>
      <c r="AD256" s="112"/>
      <c r="AE256" s="111"/>
      <c r="AF256" s="111"/>
      <c r="AG256" s="111"/>
      <c r="AH256" s="111"/>
    </row>
    <row r="257" spans="1:34" ht="15.75" customHeight="1" x14ac:dyDescent="0.15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2"/>
      <c r="AC257" s="112"/>
      <c r="AD257" s="112"/>
      <c r="AE257" s="111"/>
      <c r="AF257" s="111"/>
      <c r="AG257" s="111"/>
      <c r="AH257" s="111"/>
    </row>
    <row r="258" spans="1:34" ht="15.75" customHeight="1" x14ac:dyDescent="0.15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2"/>
      <c r="AC258" s="112"/>
      <c r="AD258" s="112"/>
      <c r="AE258" s="111"/>
      <c r="AF258" s="111"/>
      <c r="AG258" s="111"/>
      <c r="AH258" s="111"/>
    </row>
    <row r="259" spans="1:34" ht="15.75" customHeight="1" x14ac:dyDescent="0.15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2"/>
      <c r="AC259" s="112"/>
      <c r="AD259" s="112"/>
      <c r="AE259" s="111"/>
      <c r="AF259" s="111"/>
      <c r="AG259" s="111"/>
      <c r="AH259" s="111"/>
    </row>
    <row r="260" spans="1:34" ht="15.75" customHeight="1" x14ac:dyDescent="0.15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2"/>
      <c r="AC260" s="112"/>
      <c r="AD260" s="112"/>
      <c r="AE260" s="111"/>
      <c r="AF260" s="111"/>
      <c r="AG260" s="111"/>
      <c r="AH260" s="111"/>
    </row>
    <row r="261" spans="1:34" ht="15.75" customHeight="1" x14ac:dyDescent="0.15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2"/>
      <c r="AC261" s="112"/>
      <c r="AD261" s="112"/>
      <c r="AE261" s="111"/>
      <c r="AF261" s="111"/>
      <c r="AG261" s="111"/>
      <c r="AH261" s="111"/>
    </row>
    <row r="262" spans="1:34" ht="15.75" customHeight="1" x14ac:dyDescent="0.15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2"/>
      <c r="AC262" s="112"/>
      <c r="AD262" s="112"/>
      <c r="AE262" s="111"/>
      <c r="AF262" s="111"/>
      <c r="AG262" s="111"/>
      <c r="AH262" s="111"/>
    </row>
    <row r="263" spans="1:34" ht="15.75" customHeight="1" x14ac:dyDescent="0.15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2"/>
      <c r="AC263" s="112"/>
      <c r="AD263" s="112"/>
      <c r="AE263" s="111"/>
      <c r="AF263" s="111"/>
      <c r="AG263" s="111"/>
      <c r="AH263" s="111"/>
    </row>
    <row r="264" spans="1:34" ht="15.75" customHeight="1" x14ac:dyDescent="0.15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2"/>
      <c r="AC264" s="112"/>
      <c r="AD264" s="112"/>
      <c r="AE264" s="111"/>
      <c r="AF264" s="111"/>
      <c r="AG264" s="111"/>
      <c r="AH264" s="111"/>
    </row>
    <row r="265" spans="1:34" ht="15.75" customHeight="1" x14ac:dyDescent="0.1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2"/>
      <c r="AC265" s="112"/>
      <c r="AD265" s="112"/>
      <c r="AE265" s="111"/>
      <c r="AF265" s="111"/>
      <c r="AG265" s="111"/>
      <c r="AH265" s="111"/>
    </row>
    <row r="266" spans="1:34" ht="15.75" customHeight="1" x14ac:dyDescent="0.15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2"/>
      <c r="AC266" s="112"/>
      <c r="AD266" s="112"/>
      <c r="AE266" s="111"/>
      <c r="AF266" s="111"/>
      <c r="AG266" s="111"/>
      <c r="AH266" s="111"/>
    </row>
    <row r="267" spans="1:34" ht="15.75" customHeight="1" x14ac:dyDescent="0.15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2"/>
      <c r="AC267" s="112"/>
      <c r="AD267" s="112"/>
      <c r="AE267" s="111"/>
      <c r="AF267" s="111"/>
      <c r="AG267" s="111"/>
      <c r="AH267" s="111"/>
    </row>
    <row r="268" spans="1:34" ht="15.75" customHeight="1" x14ac:dyDescent="0.15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2"/>
      <c r="AC268" s="112"/>
      <c r="AD268" s="112"/>
      <c r="AE268" s="111"/>
      <c r="AF268" s="111"/>
      <c r="AG268" s="111"/>
      <c r="AH268" s="111"/>
    </row>
    <row r="269" spans="1:34" ht="15.75" customHeight="1" x14ac:dyDescent="0.15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2"/>
      <c r="AC269" s="112"/>
      <c r="AD269" s="112"/>
      <c r="AE269" s="111"/>
      <c r="AF269" s="111"/>
      <c r="AG269" s="111"/>
      <c r="AH269" s="111"/>
    </row>
    <row r="270" spans="1:34" ht="15.75" customHeight="1" x14ac:dyDescent="0.15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2"/>
      <c r="AC270" s="112"/>
      <c r="AD270" s="112"/>
      <c r="AE270" s="111"/>
      <c r="AF270" s="111"/>
      <c r="AG270" s="111"/>
      <c r="AH270" s="111"/>
    </row>
    <row r="271" spans="1:34" ht="15.75" customHeight="1" x14ac:dyDescent="0.15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2"/>
      <c r="AC271" s="112"/>
      <c r="AD271" s="112"/>
      <c r="AE271" s="111"/>
      <c r="AF271" s="111"/>
      <c r="AG271" s="111"/>
      <c r="AH271" s="111"/>
    </row>
    <row r="272" spans="1:34" ht="15.75" customHeight="1" x14ac:dyDescent="0.15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2"/>
      <c r="AC272" s="112"/>
      <c r="AD272" s="112"/>
      <c r="AE272" s="111"/>
      <c r="AF272" s="111"/>
      <c r="AG272" s="111"/>
      <c r="AH272" s="111"/>
    </row>
    <row r="273" spans="1:34" ht="15.75" customHeight="1" x14ac:dyDescent="0.15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2"/>
      <c r="AC273" s="112"/>
      <c r="AD273" s="112"/>
      <c r="AE273" s="111"/>
      <c r="AF273" s="111"/>
      <c r="AG273" s="111"/>
      <c r="AH273" s="111"/>
    </row>
    <row r="274" spans="1:34" ht="15.75" customHeight="1" x14ac:dyDescent="0.15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2"/>
      <c r="AC274" s="112"/>
      <c r="AD274" s="112"/>
      <c r="AE274" s="111"/>
      <c r="AF274" s="111"/>
      <c r="AG274" s="111"/>
      <c r="AH274" s="111"/>
    </row>
    <row r="275" spans="1:34" ht="15.75" customHeight="1" x14ac:dyDescent="0.1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2"/>
      <c r="AC275" s="112"/>
      <c r="AD275" s="112"/>
      <c r="AE275" s="111"/>
      <c r="AF275" s="111"/>
      <c r="AG275" s="111"/>
      <c r="AH275" s="111"/>
    </row>
    <row r="276" spans="1:34" ht="15.75" customHeight="1" x14ac:dyDescent="0.15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2"/>
      <c r="AC276" s="112"/>
      <c r="AD276" s="112"/>
      <c r="AE276" s="111"/>
      <c r="AF276" s="111"/>
      <c r="AG276" s="111"/>
      <c r="AH276" s="111"/>
    </row>
    <row r="277" spans="1:34" ht="15.75" customHeight="1" x14ac:dyDescent="0.15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2"/>
      <c r="AC277" s="112"/>
      <c r="AD277" s="112"/>
      <c r="AE277" s="111"/>
      <c r="AF277" s="111"/>
      <c r="AG277" s="111"/>
      <c r="AH277" s="111"/>
    </row>
    <row r="278" spans="1:34" ht="15.75" customHeight="1" x14ac:dyDescent="0.15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2"/>
      <c r="AC278" s="112"/>
      <c r="AD278" s="112"/>
      <c r="AE278" s="111"/>
      <c r="AF278" s="111"/>
      <c r="AG278" s="111"/>
      <c r="AH278" s="111"/>
    </row>
    <row r="279" spans="1:34" ht="15.75" customHeight="1" x14ac:dyDescent="0.15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2"/>
      <c r="AC279" s="112"/>
      <c r="AD279" s="112"/>
      <c r="AE279" s="111"/>
      <c r="AF279" s="111"/>
      <c r="AG279" s="111"/>
      <c r="AH279" s="111"/>
    </row>
    <row r="280" spans="1:34" ht="15.75" customHeight="1" x14ac:dyDescent="0.15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2"/>
      <c r="AC280" s="112"/>
      <c r="AD280" s="112"/>
      <c r="AE280" s="111"/>
      <c r="AF280" s="111"/>
      <c r="AG280" s="111"/>
      <c r="AH280" s="111"/>
    </row>
    <row r="281" spans="1:34" ht="15.75" customHeight="1" x14ac:dyDescent="0.15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2"/>
      <c r="AC281" s="112"/>
      <c r="AD281" s="112"/>
      <c r="AE281" s="111"/>
      <c r="AF281" s="111"/>
      <c r="AG281" s="111"/>
      <c r="AH281" s="111"/>
    </row>
    <row r="282" spans="1:34" ht="15.75" customHeight="1" x14ac:dyDescent="0.15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2"/>
      <c r="AC282" s="112"/>
      <c r="AD282" s="112"/>
      <c r="AE282" s="111"/>
      <c r="AF282" s="111"/>
      <c r="AG282" s="111"/>
      <c r="AH282" s="111"/>
    </row>
    <row r="283" spans="1:34" ht="15.75" customHeight="1" x14ac:dyDescent="0.15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2"/>
      <c r="AC283" s="112"/>
      <c r="AD283" s="112"/>
      <c r="AE283" s="111"/>
      <c r="AF283" s="111"/>
      <c r="AG283" s="111"/>
      <c r="AH283" s="111"/>
    </row>
    <row r="284" spans="1:34" ht="15.75" customHeight="1" x14ac:dyDescent="0.15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2"/>
      <c r="AC284" s="112"/>
      <c r="AD284" s="112"/>
      <c r="AE284" s="111"/>
      <c r="AF284" s="111"/>
      <c r="AG284" s="111"/>
      <c r="AH284" s="111"/>
    </row>
    <row r="285" spans="1:34" ht="15.75" customHeight="1" x14ac:dyDescent="0.1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2"/>
      <c r="AC285" s="112"/>
      <c r="AD285" s="112"/>
      <c r="AE285" s="111"/>
      <c r="AF285" s="111"/>
      <c r="AG285" s="111"/>
      <c r="AH285" s="111"/>
    </row>
    <row r="286" spans="1:34" ht="15.75" customHeight="1" x14ac:dyDescent="0.15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2"/>
      <c r="AC286" s="112"/>
      <c r="AD286" s="112"/>
      <c r="AE286" s="111"/>
      <c r="AF286" s="111"/>
      <c r="AG286" s="111"/>
      <c r="AH286" s="111"/>
    </row>
    <row r="287" spans="1:34" ht="15.75" customHeight="1" x14ac:dyDescent="0.15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2"/>
      <c r="AC287" s="112"/>
      <c r="AD287" s="112"/>
      <c r="AE287" s="111"/>
      <c r="AF287" s="111"/>
      <c r="AG287" s="111"/>
      <c r="AH287" s="111"/>
    </row>
    <row r="288" spans="1:34" ht="15.75" customHeight="1" x14ac:dyDescent="0.15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2"/>
      <c r="AC288" s="112"/>
      <c r="AD288" s="112"/>
      <c r="AE288" s="111"/>
      <c r="AF288" s="111"/>
      <c r="AG288" s="111"/>
      <c r="AH288" s="111"/>
    </row>
    <row r="289" spans="1:34" ht="15.75" customHeight="1" x14ac:dyDescent="0.15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2"/>
      <c r="AC289" s="112"/>
      <c r="AD289" s="112"/>
      <c r="AE289" s="111"/>
      <c r="AF289" s="111"/>
      <c r="AG289" s="111"/>
      <c r="AH289" s="111"/>
    </row>
    <row r="290" spans="1:34" ht="15.75" customHeight="1" x14ac:dyDescent="0.15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2"/>
      <c r="AC290" s="112"/>
      <c r="AD290" s="112"/>
      <c r="AE290" s="111"/>
      <c r="AF290" s="111"/>
      <c r="AG290" s="111"/>
      <c r="AH290" s="111"/>
    </row>
    <row r="291" spans="1:34" ht="15.75" customHeight="1" x14ac:dyDescent="0.15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2"/>
      <c r="AC291" s="112"/>
      <c r="AD291" s="112"/>
      <c r="AE291" s="111"/>
      <c r="AF291" s="111"/>
      <c r="AG291" s="111"/>
      <c r="AH291" s="111"/>
    </row>
    <row r="292" spans="1:34" ht="15.75" customHeight="1" x14ac:dyDescent="0.15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2"/>
      <c r="AC292" s="112"/>
      <c r="AD292" s="112"/>
      <c r="AE292" s="111"/>
      <c r="AF292" s="111"/>
      <c r="AG292" s="111"/>
      <c r="AH292" s="111"/>
    </row>
    <row r="293" spans="1:34" ht="15.75" customHeight="1" x14ac:dyDescent="0.15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2"/>
      <c r="AC293" s="112"/>
      <c r="AD293" s="112"/>
      <c r="AE293" s="111"/>
      <c r="AF293" s="111"/>
      <c r="AG293" s="111"/>
      <c r="AH293" s="111"/>
    </row>
    <row r="294" spans="1:34" ht="15.75" customHeight="1" x14ac:dyDescent="0.15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2"/>
      <c r="AC294" s="112"/>
      <c r="AD294" s="112"/>
      <c r="AE294" s="111"/>
      <c r="AF294" s="111"/>
      <c r="AG294" s="111"/>
      <c r="AH294" s="111"/>
    </row>
    <row r="295" spans="1:34" ht="15.75" customHeight="1" x14ac:dyDescent="0.1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2"/>
      <c r="AC295" s="112"/>
      <c r="AD295" s="112"/>
      <c r="AE295" s="111"/>
      <c r="AF295" s="111"/>
      <c r="AG295" s="111"/>
      <c r="AH295" s="111"/>
    </row>
    <row r="296" spans="1:34" ht="15.75" customHeight="1" x14ac:dyDescent="0.15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2"/>
      <c r="AC296" s="112"/>
      <c r="AD296" s="112"/>
      <c r="AE296" s="111"/>
      <c r="AF296" s="111"/>
      <c r="AG296" s="111"/>
      <c r="AH296" s="111"/>
    </row>
    <row r="297" spans="1:34" ht="15.75" customHeight="1" x14ac:dyDescent="0.15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2"/>
      <c r="AC297" s="112"/>
      <c r="AD297" s="112"/>
      <c r="AE297" s="111"/>
      <c r="AF297" s="111"/>
      <c r="AG297" s="111"/>
      <c r="AH297" s="111"/>
    </row>
    <row r="298" spans="1:34" ht="15.75" customHeight="1" x14ac:dyDescent="0.15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2"/>
      <c r="AC298" s="112"/>
      <c r="AD298" s="112"/>
      <c r="AE298" s="111"/>
      <c r="AF298" s="111"/>
      <c r="AG298" s="111"/>
      <c r="AH298" s="111"/>
    </row>
    <row r="299" spans="1:34" ht="15.75" customHeight="1" x14ac:dyDescent="0.15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2"/>
      <c r="AC299" s="112"/>
      <c r="AD299" s="112"/>
      <c r="AE299" s="111"/>
      <c r="AF299" s="111"/>
      <c r="AG299" s="111"/>
      <c r="AH299" s="111"/>
    </row>
    <row r="300" spans="1:34" ht="15.75" customHeight="1" x14ac:dyDescent="0.15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2"/>
      <c r="AC300" s="112"/>
      <c r="AD300" s="112"/>
      <c r="AE300" s="111"/>
      <c r="AF300" s="111"/>
      <c r="AG300" s="111"/>
      <c r="AH300" s="111"/>
    </row>
    <row r="301" spans="1:34" ht="15.75" customHeight="1" x14ac:dyDescent="0.15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2"/>
      <c r="AC301" s="112"/>
      <c r="AD301" s="112"/>
      <c r="AE301" s="111"/>
      <c r="AF301" s="111"/>
      <c r="AG301" s="111"/>
      <c r="AH301" s="111"/>
    </row>
    <row r="302" spans="1:34" ht="15.75" customHeight="1" x14ac:dyDescent="0.15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2"/>
      <c r="AC302" s="112"/>
      <c r="AD302" s="112"/>
      <c r="AE302" s="111"/>
      <c r="AF302" s="111"/>
      <c r="AG302" s="111"/>
      <c r="AH302" s="111"/>
    </row>
    <row r="303" spans="1:34" ht="15.75" customHeight="1" x14ac:dyDescent="0.15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2"/>
      <c r="AC303" s="112"/>
      <c r="AD303" s="112"/>
      <c r="AE303" s="111"/>
      <c r="AF303" s="111"/>
      <c r="AG303" s="111"/>
      <c r="AH303" s="111"/>
    </row>
    <row r="304" spans="1:34" ht="15.75" customHeight="1" x14ac:dyDescent="0.15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2"/>
      <c r="AC304" s="112"/>
      <c r="AD304" s="112"/>
      <c r="AE304" s="111"/>
      <c r="AF304" s="111"/>
      <c r="AG304" s="111"/>
      <c r="AH304" s="111"/>
    </row>
    <row r="305" spans="1:34" ht="15.75" customHeight="1" x14ac:dyDescent="0.1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2"/>
      <c r="AC305" s="112"/>
      <c r="AD305" s="112"/>
      <c r="AE305" s="111"/>
      <c r="AF305" s="111"/>
      <c r="AG305" s="111"/>
      <c r="AH305" s="111"/>
    </row>
    <row r="306" spans="1:34" ht="15.75" customHeight="1" x14ac:dyDescent="0.15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2"/>
      <c r="AC306" s="112"/>
      <c r="AD306" s="112"/>
      <c r="AE306" s="111"/>
      <c r="AF306" s="111"/>
      <c r="AG306" s="111"/>
      <c r="AH306" s="111"/>
    </row>
    <row r="307" spans="1:34" ht="15.75" customHeight="1" x14ac:dyDescent="0.15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2"/>
      <c r="AC307" s="112"/>
      <c r="AD307" s="112"/>
      <c r="AE307" s="111"/>
      <c r="AF307" s="111"/>
      <c r="AG307" s="111"/>
      <c r="AH307" s="111"/>
    </row>
    <row r="308" spans="1:34" ht="15.75" customHeight="1" x14ac:dyDescent="0.15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2"/>
      <c r="AC308" s="112"/>
      <c r="AD308" s="112"/>
      <c r="AE308" s="111"/>
      <c r="AF308" s="111"/>
      <c r="AG308" s="111"/>
      <c r="AH308" s="111"/>
    </row>
    <row r="309" spans="1:34" ht="15.75" customHeight="1" x14ac:dyDescent="0.15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2"/>
      <c r="AC309" s="112"/>
      <c r="AD309" s="112"/>
      <c r="AE309" s="111"/>
      <c r="AF309" s="111"/>
      <c r="AG309" s="111"/>
      <c r="AH309" s="111"/>
    </row>
    <row r="310" spans="1:34" ht="15.75" customHeight="1" x14ac:dyDescent="0.15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2"/>
      <c r="AC310" s="112"/>
      <c r="AD310" s="112"/>
      <c r="AE310" s="111"/>
      <c r="AF310" s="111"/>
      <c r="AG310" s="111"/>
      <c r="AH310" s="111"/>
    </row>
    <row r="311" spans="1:34" ht="15.75" customHeight="1" x14ac:dyDescent="0.15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2"/>
      <c r="AC311" s="112"/>
      <c r="AD311" s="112"/>
      <c r="AE311" s="111"/>
      <c r="AF311" s="111"/>
      <c r="AG311" s="111"/>
      <c r="AH311" s="111"/>
    </row>
    <row r="312" spans="1:34" ht="15.75" customHeight="1" x14ac:dyDescent="0.15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2"/>
      <c r="AC312" s="112"/>
      <c r="AD312" s="112"/>
      <c r="AE312" s="111"/>
      <c r="AF312" s="111"/>
      <c r="AG312" s="111"/>
      <c r="AH312" s="111"/>
    </row>
    <row r="313" spans="1:34" ht="15.75" customHeight="1" x14ac:dyDescent="0.15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2"/>
      <c r="AC313" s="112"/>
      <c r="AD313" s="112"/>
      <c r="AE313" s="111"/>
      <c r="AF313" s="111"/>
      <c r="AG313" s="111"/>
      <c r="AH313" s="111"/>
    </row>
    <row r="314" spans="1:34" ht="15.75" customHeight="1" x14ac:dyDescent="0.15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2"/>
      <c r="AC314" s="112"/>
      <c r="AD314" s="112"/>
      <c r="AE314" s="111"/>
      <c r="AF314" s="111"/>
      <c r="AG314" s="111"/>
      <c r="AH314" s="111"/>
    </row>
    <row r="315" spans="1:34" ht="15.75" customHeight="1" x14ac:dyDescent="0.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2"/>
      <c r="AC315" s="112"/>
      <c r="AD315" s="112"/>
      <c r="AE315" s="111"/>
      <c r="AF315" s="111"/>
      <c r="AG315" s="111"/>
      <c r="AH315" s="111"/>
    </row>
    <row r="316" spans="1:34" ht="15.75" customHeight="1" x14ac:dyDescent="0.15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2"/>
      <c r="AC316" s="112"/>
      <c r="AD316" s="112"/>
      <c r="AE316" s="111"/>
      <c r="AF316" s="111"/>
      <c r="AG316" s="111"/>
      <c r="AH316" s="111"/>
    </row>
    <row r="317" spans="1:34" ht="15.75" customHeight="1" x14ac:dyDescent="0.15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2"/>
      <c r="AC317" s="112"/>
      <c r="AD317" s="112"/>
      <c r="AE317" s="111"/>
      <c r="AF317" s="111"/>
      <c r="AG317" s="111"/>
      <c r="AH317" s="111"/>
    </row>
    <row r="318" spans="1:34" ht="15.75" customHeight="1" x14ac:dyDescent="0.15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2"/>
      <c r="AC318" s="112"/>
      <c r="AD318" s="112"/>
      <c r="AE318" s="111"/>
      <c r="AF318" s="111"/>
      <c r="AG318" s="111"/>
      <c r="AH318" s="111"/>
    </row>
    <row r="319" spans="1:34" ht="15.75" customHeight="1" x14ac:dyDescent="0.15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2"/>
      <c r="AC319" s="112"/>
      <c r="AD319" s="112"/>
      <c r="AE319" s="111"/>
      <c r="AF319" s="111"/>
      <c r="AG319" s="111"/>
      <c r="AH319" s="111"/>
    </row>
    <row r="320" spans="1:34" ht="15.75" customHeight="1" x14ac:dyDescent="0.15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2"/>
      <c r="AC320" s="112"/>
      <c r="AD320" s="112"/>
      <c r="AE320" s="111"/>
      <c r="AF320" s="111"/>
      <c r="AG320" s="111"/>
      <c r="AH320" s="111"/>
    </row>
    <row r="321" spans="1:34" ht="15.75" customHeight="1" x14ac:dyDescent="0.15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2"/>
      <c r="AC321" s="112"/>
      <c r="AD321" s="112"/>
      <c r="AE321" s="111"/>
      <c r="AF321" s="111"/>
      <c r="AG321" s="111"/>
      <c r="AH321" s="111"/>
    </row>
    <row r="322" spans="1:34" ht="15.75" customHeight="1" x14ac:dyDescent="0.15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2"/>
      <c r="AC322" s="112"/>
      <c r="AD322" s="112"/>
      <c r="AE322" s="111"/>
      <c r="AF322" s="111"/>
      <c r="AG322" s="111"/>
      <c r="AH322" s="111"/>
    </row>
    <row r="323" spans="1:34" ht="15.75" customHeight="1" x14ac:dyDescent="0.15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2"/>
      <c r="AC323" s="112"/>
      <c r="AD323" s="112"/>
      <c r="AE323" s="111"/>
      <c r="AF323" s="111"/>
      <c r="AG323" s="111"/>
      <c r="AH323" s="111"/>
    </row>
    <row r="324" spans="1:34" ht="15.75" customHeight="1" x14ac:dyDescent="0.15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2"/>
      <c r="AC324" s="112"/>
      <c r="AD324" s="112"/>
      <c r="AE324" s="111"/>
      <c r="AF324" s="111"/>
      <c r="AG324" s="111"/>
      <c r="AH324" s="111"/>
    </row>
    <row r="325" spans="1:34" ht="15.75" customHeight="1" x14ac:dyDescent="0.1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2"/>
      <c r="AC325" s="112"/>
      <c r="AD325" s="112"/>
      <c r="AE325" s="111"/>
      <c r="AF325" s="111"/>
      <c r="AG325" s="111"/>
      <c r="AH325" s="111"/>
    </row>
    <row r="326" spans="1:34" ht="15.75" customHeight="1" x14ac:dyDescent="0.15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2"/>
      <c r="AC326" s="112"/>
      <c r="AD326" s="112"/>
      <c r="AE326" s="111"/>
      <c r="AF326" s="111"/>
      <c r="AG326" s="111"/>
      <c r="AH326" s="111"/>
    </row>
    <row r="327" spans="1:34" ht="15.75" customHeight="1" x14ac:dyDescent="0.15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2"/>
      <c r="AC327" s="112"/>
      <c r="AD327" s="112"/>
      <c r="AE327" s="111"/>
      <c r="AF327" s="111"/>
      <c r="AG327" s="111"/>
      <c r="AH327" s="111"/>
    </row>
    <row r="328" spans="1:34" ht="15.75" customHeight="1" x14ac:dyDescent="0.15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2"/>
      <c r="AC328" s="112"/>
      <c r="AD328" s="112"/>
      <c r="AE328" s="111"/>
      <c r="AF328" s="111"/>
      <c r="AG328" s="111"/>
      <c r="AH328" s="111"/>
    </row>
    <row r="329" spans="1:34" ht="15.75" customHeight="1" x14ac:dyDescent="0.15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2"/>
      <c r="AC329" s="112"/>
      <c r="AD329" s="112"/>
      <c r="AE329" s="111"/>
      <c r="AF329" s="111"/>
      <c r="AG329" s="111"/>
      <c r="AH329" s="111"/>
    </row>
    <row r="330" spans="1:34" ht="15.75" customHeight="1" x14ac:dyDescent="0.15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2"/>
      <c r="AC330" s="112"/>
      <c r="AD330" s="112"/>
      <c r="AE330" s="111"/>
      <c r="AF330" s="111"/>
      <c r="AG330" s="111"/>
      <c r="AH330" s="111"/>
    </row>
    <row r="331" spans="1:34" ht="13" x14ac:dyDescent="0.15"/>
    <row r="332" spans="1:34" ht="13" x14ac:dyDescent="0.15"/>
    <row r="333" spans="1:34" ht="13" x14ac:dyDescent="0.15"/>
    <row r="334" spans="1:34" ht="13" x14ac:dyDescent="0.15"/>
    <row r="335" spans="1:34" ht="13" x14ac:dyDescent="0.15"/>
    <row r="336" spans="1:34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  <row r="1001" ht="13" x14ac:dyDescent="0.15"/>
    <row r="1002" ht="13" x14ac:dyDescent="0.15"/>
    <row r="1003" ht="13" x14ac:dyDescent="0.15"/>
    <row r="1004" ht="13" x14ac:dyDescent="0.15"/>
    <row r="1005" ht="13" x14ac:dyDescent="0.15"/>
    <row r="1006" ht="13" x14ac:dyDescent="0.15"/>
    <row r="1007" ht="13" x14ac:dyDescent="0.15"/>
    <row r="1008" ht="13" x14ac:dyDescent="0.15"/>
    <row r="1009" ht="13" x14ac:dyDescent="0.15"/>
    <row r="1010" ht="13" x14ac:dyDescent="0.15"/>
    <row r="1011" ht="13" x14ac:dyDescent="0.15"/>
    <row r="1012" ht="13" x14ac:dyDescent="0.15"/>
    <row r="1013" ht="13" x14ac:dyDescent="0.15"/>
    <row r="1014" ht="13" x14ac:dyDescent="0.15"/>
    <row r="1015" ht="13" x14ac:dyDescent="0.15"/>
    <row r="1016" ht="13" x14ac:dyDescent="0.15"/>
    <row r="1017" ht="13" x14ac:dyDescent="0.15"/>
    <row r="1018" ht="13" x14ac:dyDescent="0.15"/>
    <row r="1019" ht="13" x14ac:dyDescent="0.15"/>
    <row r="1020" ht="13" x14ac:dyDescent="0.15"/>
    <row r="1021" ht="13" x14ac:dyDescent="0.15"/>
    <row r="1022" ht="13" x14ac:dyDescent="0.15"/>
    <row r="1023" ht="13" x14ac:dyDescent="0.15"/>
    <row r="1024" ht="13" x14ac:dyDescent="0.15"/>
    <row r="1025" ht="13" x14ac:dyDescent="0.15"/>
    <row r="1026" ht="13" x14ac:dyDescent="0.15"/>
    <row r="1027" ht="13" x14ac:dyDescent="0.15"/>
    <row r="1028" ht="13" x14ac:dyDescent="0.15"/>
    <row r="1029" ht="13" x14ac:dyDescent="0.15"/>
    <row r="1030" ht="13" x14ac:dyDescent="0.15"/>
    <row r="1031" ht="13" x14ac:dyDescent="0.15"/>
    <row r="1032" ht="13" x14ac:dyDescent="0.15"/>
    <row r="1033" ht="13" x14ac:dyDescent="0.15"/>
    <row r="1034" ht="13" x14ac:dyDescent="0.15"/>
    <row r="1035" ht="13" x14ac:dyDescent="0.15"/>
    <row r="1036" ht="13" x14ac:dyDescent="0.15"/>
    <row r="1037" ht="13" x14ac:dyDescent="0.15"/>
  </sheetData>
  <sortState xmlns:xlrd2="http://schemas.microsoft.com/office/spreadsheetml/2017/richdata2" ref="B50:AD123">
    <sortCondition ref="W50:W123"/>
  </sortState>
  <mergeCells count="16">
    <mergeCell ref="B129:E129"/>
    <mergeCell ref="B130:E130"/>
    <mergeCell ref="A1:AD1"/>
    <mergeCell ref="AE3:AF3"/>
    <mergeCell ref="AG3:AH3"/>
    <mergeCell ref="A4:AD4"/>
    <mergeCell ref="B47:I47"/>
    <mergeCell ref="A49:AD49"/>
    <mergeCell ref="AE49:AH49"/>
    <mergeCell ref="B2:S2"/>
    <mergeCell ref="T2:AD2"/>
    <mergeCell ref="B48:I48"/>
    <mergeCell ref="B124:I124"/>
    <mergeCell ref="B125:I125"/>
    <mergeCell ref="B127:I127"/>
    <mergeCell ref="B128:I128"/>
  </mergeCells>
  <dataValidations count="2">
    <dataValidation type="list" allowBlank="1" showErrorMessage="1" sqref="AH126 AH5:AH46 AH50:AH123" xr:uid="{00000000-0002-0000-0000-000000000000}">
      <formula1>"Confirmed,Edited,Reviewing"</formula1>
    </dataValidation>
    <dataValidation type="list" allowBlank="1" showErrorMessage="1" sqref="AG126 AG5:AG46 AG50:AG123" xr:uid="{00000000-0002-0000-0000-000001000000}">
      <formula1>"Confirmed,Edited"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3"/>
  <sheetViews>
    <sheetView topLeftCell="A4" workbookViewId="0">
      <selection activeCell="C11" sqref="C11"/>
    </sheetView>
  </sheetViews>
  <sheetFormatPr baseColWidth="10" defaultColWidth="12.6640625" defaultRowHeight="15.75" customHeight="1" x14ac:dyDescent="0.15"/>
  <sheetData>
    <row r="1" spans="1:11" ht="15.75" customHeight="1" x14ac:dyDescent="0.15">
      <c r="A1" s="175" t="s">
        <v>335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</row>
    <row r="2" spans="1:11" ht="64" customHeight="1" x14ac:dyDescent="0.15">
      <c r="A2" s="113" t="s">
        <v>337</v>
      </c>
      <c r="B2" s="113" t="s">
        <v>338</v>
      </c>
      <c r="C2" s="114" t="s">
        <v>339</v>
      </c>
      <c r="D2" s="114" t="s">
        <v>340</v>
      </c>
      <c r="E2" s="114" t="s">
        <v>341</v>
      </c>
      <c r="F2" s="114" t="s">
        <v>18</v>
      </c>
      <c r="G2" s="114" t="s">
        <v>19</v>
      </c>
      <c r="H2" s="3" t="s">
        <v>22</v>
      </c>
      <c r="I2" s="3" t="s">
        <v>23</v>
      </c>
      <c r="J2" s="114" t="s">
        <v>342</v>
      </c>
      <c r="K2" s="115" t="s">
        <v>343</v>
      </c>
    </row>
    <row r="3" spans="1:11" ht="15.75" customHeight="1" x14ac:dyDescent="0.15">
      <c r="A3" s="176" t="s">
        <v>344</v>
      </c>
      <c r="B3" s="116" t="s">
        <v>40</v>
      </c>
      <c r="C3" s="117">
        <f>'List sale_DIGITAL BUILDING'!A47</f>
        <v>25</v>
      </c>
      <c r="D3" s="118">
        <f>'List sale_DIGITAL BUILDING'!Q47</f>
        <v>16311.599999999997</v>
      </c>
      <c r="E3" s="117">
        <f>'List sale_DIGITAL BUILDING'!S47</f>
        <v>99</v>
      </c>
      <c r="F3" s="117">
        <f>'List sale_DIGITAL BUILDING'!T47</f>
        <v>138</v>
      </c>
      <c r="G3" s="117">
        <f>'List sale_DIGITAL BUILDING'!U47</f>
        <v>141</v>
      </c>
      <c r="H3" s="117">
        <f>'List sale_DIGITAL BUILDING'!X47</f>
        <v>6</v>
      </c>
      <c r="I3" s="117">
        <f>'List sale_DIGITAL BUILDING'!Y47</f>
        <v>58</v>
      </c>
      <c r="J3" s="117">
        <f t="shared" ref="J3:J5" si="0">SUM(F3:G3)</f>
        <v>279</v>
      </c>
      <c r="K3" s="119">
        <f>J3/J6</f>
        <v>0.38482758620689655</v>
      </c>
    </row>
    <row r="4" spans="1:11" ht="15.75" customHeight="1" x14ac:dyDescent="0.15">
      <c r="A4" s="177"/>
      <c r="B4" s="116" t="s">
        <v>84</v>
      </c>
      <c r="C4" s="117">
        <f>'List sale_DIGITAL BUILDING'!A124</f>
        <v>24</v>
      </c>
      <c r="D4" s="118">
        <f>'List sale_DIGITAL BUILDING'!Q124</f>
        <v>24860.699999999993</v>
      </c>
      <c r="E4" s="117">
        <f>'List sale_DIGITAL BUILDING'!S124</f>
        <v>98</v>
      </c>
      <c r="F4" s="117">
        <f>'List sale_DIGITAL BUILDING'!T124</f>
        <v>163</v>
      </c>
      <c r="G4" s="117">
        <f>'List sale_DIGITAL BUILDING'!U124</f>
        <v>81</v>
      </c>
      <c r="H4" s="117">
        <f>'List sale_DIGITAL BUILDING'!X124</f>
        <v>33</v>
      </c>
      <c r="I4" s="117">
        <f>'List sale_DIGITAL BUILDING'!Y124</f>
        <v>95</v>
      </c>
      <c r="J4" s="117">
        <f t="shared" si="0"/>
        <v>244</v>
      </c>
      <c r="K4" s="119">
        <f>J4/J6</f>
        <v>0.33655172413793105</v>
      </c>
    </row>
    <row r="5" spans="1:11" ht="14" x14ac:dyDescent="0.2">
      <c r="A5" s="178"/>
      <c r="B5" s="116" t="s">
        <v>328</v>
      </c>
      <c r="C5" s="117">
        <f>'List sale_DIGITAL BUILDING'!A127</f>
        <v>1</v>
      </c>
      <c r="D5" s="118">
        <f>'List sale_DIGITAL BUILDING'!Q127</f>
        <v>1000</v>
      </c>
      <c r="E5" s="117">
        <f>'List sale_DIGITAL BUILDING'!S127</f>
        <v>3</v>
      </c>
      <c r="F5" s="117">
        <f>'List sale_DIGITAL BUILDING'!T127</f>
        <v>6</v>
      </c>
      <c r="G5" s="120">
        <f>'List sale_DIGITAL BUILDING'!U127</f>
        <v>4</v>
      </c>
      <c r="H5" s="121">
        <f>'List sale_DIGITAL BUILDING'!X127</f>
        <v>0</v>
      </c>
      <c r="I5" s="122">
        <f>'List sale_DIGITAL BUILDING'!Y127</f>
        <v>0</v>
      </c>
      <c r="J5" s="117">
        <f t="shared" si="0"/>
        <v>10</v>
      </c>
      <c r="K5" s="119">
        <f>J5/J6</f>
        <v>1.3793103448275862E-2</v>
      </c>
    </row>
    <row r="6" spans="1:11" ht="15.75" customHeight="1" x14ac:dyDescent="0.15">
      <c r="A6" s="173" t="s">
        <v>345</v>
      </c>
      <c r="B6" s="174"/>
      <c r="C6" s="123">
        <f t="shared" ref="C6:I6" si="1">SUM(C3:C5)</f>
        <v>50</v>
      </c>
      <c r="D6" s="124">
        <f t="shared" si="1"/>
        <v>42172.299999999988</v>
      </c>
      <c r="E6" s="123">
        <f t="shared" si="1"/>
        <v>200</v>
      </c>
      <c r="F6" s="123">
        <f t="shared" si="1"/>
        <v>307</v>
      </c>
      <c r="G6" s="123">
        <f t="shared" si="1"/>
        <v>226</v>
      </c>
      <c r="H6" s="123">
        <f t="shared" si="1"/>
        <v>39</v>
      </c>
      <c r="I6" s="123">
        <f t="shared" si="1"/>
        <v>153</v>
      </c>
      <c r="J6" s="123">
        <f>SUM(F6:I6)</f>
        <v>725</v>
      </c>
      <c r="K6" s="125">
        <f>SUM(K3:K5)</f>
        <v>0.7351724137931035</v>
      </c>
    </row>
    <row r="7" spans="1:11" ht="15.75" customHeight="1" x14ac:dyDescent="0.15">
      <c r="A7" s="175" t="s">
        <v>346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</row>
    <row r="8" spans="1:11" ht="81" customHeight="1" x14ac:dyDescent="0.15">
      <c r="A8" s="113" t="s">
        <v>337</v>
      </c>
      <c r="B8" s="113" t="s">
        <v>338</v>
      </c>
      <c r="C8" s="114" t="s">
        <v>339</v>
      </c>
      <c r="D8" s="114" t="s">
        <v>340</v>
      </c>
      <c r="E8" s="114" t="s">
        <v>341</v>
      </c>
      <c r="F8" s="114" t="s">
        <v>18</v>
      </c>
      <c r="G8" s="114" t="s">
        <v>19</v>
      </c>
      <c r="H8" s="114" t="s">
        <v>22</v>
      </c>
      <c r="I8" s="114" t="s">
        <v>23</v>
      </c>
      <c r="J8" s="114" t="s">
        <v>342</v>
      </c>
      <c r="K8" s="115" t="s">
        <v>343</v>
      </c>
    </row>
    <row r="9" spans="1:11" ht="19" customHeight="1" x14ac:dyDescent="0.15">
      <c r="A9" s="176" t="s">
        <v>344</v>
      </c>
      <c r="B9" s="116" t="s">
        <v>40</v>
      </c>
      <c r="C9" s="117">
        <f>'List sale_DIGITAL BUILDING'!A48</f>
        <v>17</v>
      </c>
      <c r="D9" s="118">
        <f>'List sale_DIGITAL BUILDING'!O48</f>
        <v>19836</v>
      </c>
      <c r="E9" s="118">
        <f>'List sale_DIGITAL BUILDING'!S48</f>
        <v>54</v>
      </c>
      <c r="F9" s="118">
        <f>'List sale_DIGITAL BUILDING'!T48</f>
        <v>84</v>
      </c>
      <c r="G9" s="118">
        <f>'List sale_DIGITAL BUILDING'!U48</f>
        <v>93</v>
      </c>
      <c r="H9" s="117">
        <f>'List sale_DIGITAL BUILDING'!X48</f>
        <v>10</v>
      </c>
      <c r="I9" s="117">
        <f>'List sale_DIGITAL BUILDING'!Y48</f>
        <v>10</v>
      </c>
      <c r="J9" s="117">
        <f t="shared" ref="J9:J11" si="2">SUM(F9:G9)</f>
        <v>177</v>
      </c>
      <c r="K9" s="119">
        <f>J9/J12</f>
        <v>0.21532846715328466</v>
      </c>
    </row>
    <row r="10" spans="1:11" ht="15.75" customHeight="1" x14ac:dyDescent="0.15">
      <c r="A10" s="177"/>
      <c r="B10" s="116" t="s">
        <v>84</v>
      </c>
      <c r="C10" s="117">
        <f>'List sale_DIGITAL BUILDING'!A125</f>
        <v>23</v>
      </c>
      <c r="D10" s="118">
        <f>'List sale_DIGITAL BUILDING'!O125</f>
        <v>37620</v>
      </c>
      <c r="E10" s="118">
        <f>'List sale_DIGITAL BUILDING'!S125</f>
        <v>204</v>
      </c>
      <c r="F10" s="118">
        <f>'List sale_DIGITAL BUILDING'!T125</f>
        <v>284</v>
      </c>
      <c r="G10" s="118">
        <f>'List sale_DIGITAL BUILDING'!U125</f>
        <v>305</v>
      </c>
      <c r="H10" s="117">
        <f>'List sale_DIGITAL BUILDING'!X125</f>
        <v>9</v>
      </c>
      <c r="I10" s="117">
        <f>'List sale_DIGITAL BUILDING'!Y125</f>
        <v>27</v>
      </c>
      <c r="J10" s="117">
        <f t="shared" si="2"/>
        <v>589</v>
      </c>
      <c r="K10" s="119">
        <f>J10/J12</f>
        <v>0.71654501216545008</v>
      </c>
    </row>
    <row r="11" spans="1:11" ht="14" x14ac:dyDescent="0.2">
      <c r="A11" s="178"/>
      <c r="B11" s="116" t="s">
        <v>328</v>
      </c>
      <c r="C11" s="122">
        <f>'List sale_DIGITAL BUILDING'!A128</f>
        <v>0</v>
      </c>
      <c r="D11" s="118">
        <f>'List sale_DIGITAL BUILDING'!O128</f>
        <v>0</v>
      </c>
      <c r="E11" s="118">
        <f>'List sale_DIGITAL BUILDING'!S128</f>
        <v>0</v>
      </c>
      <c r="F11" s="118">
        <f>'List sale_DIGITAL BUILDING'!T128</f>
        <v>0</v>
      </c>
      <c r="G11" s="118">
        <f>'List sale_DIGITAL BUILDING'!U128</f>
        <v>0</v>
      </c>
      <c r="H11" s="122">
        <f>'List sale_DIGITAL BUILDING'!X128</f>
        <v>0</v>
      </c>
      <c r="I11" s="122">
        <f>'List sale_DIGITAL BUILDING'!Y128</f>
        <v>0</v>
      </c>
      <c r="J11" s="117">
        <f t="shared" si="2"/>
        <v>0</v>
      </c>
      <c r="K11" s="119">
        <f>J11/J12</f>
        <v>0</v>
      </c>
    </row>
    <row r="12" spans="1:11" ht="15.75" customHeight="1" x14ac:dyDescent="0.15">
      <c r="A12" s="173" t="s">
        <v>345</v>
      </c>
      <c r="B12" s="174"/>
      <c r="C12" s="123">
        <f t="shared" ref="C12:I12" si="3">SUM(C9:C11)</f>
        <v>40</v>
      </c>
      <c r="D12" s="124">
        <f t="shared" si="3"/>
        <v>57456</v>
      </c>
      <c r="E12" s="123">
        <f t="shared" si="3"/>
        <v>258</v>
      </c>
      <c r="F12" s="123">
        <f t="shared" si="3"/>
        <v>368</v>
      </c>
      <c r="G12" s="123">
        <f t="shared" si="3"/>
        <v>398</v>
      </c>
      <c r="H12" s="123">
        <f t="shared" si="3"/>
        <v>19</v>
      </c>
      <c r="I12" s="123">
        <f t="shared" si="3"/>
        <v>37</v>
      </c>
      <c r="J12" s="123">
        <f>SUM(F12:I12)</f>
        <v>822</v>
      </c>
      <c r="K12" s="125">
        <f>SUM(K9:K11)</f>
        <v>0.93187347931873477</v>
      </c>
    </row>
    <row r="23" spans="12:12" ht="15.75" customHeight="1" x14ac:dyDescent="0.15">
      <c r="L23" s="126"/>
    </row>
  </sheetData>
  <mergeCells count="6">
    <mergeCell ref="A12:B12"/>
    <mergeCell ref="A1:K1"/>
    <mergeCell ref="A3:A5"/>
    <mergeCell ref="A6:B6"/>
    <mergeCell ref="A7:K7"/>
    <mergeCell ref="A9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3:B9"/>
  <sheetViews>
    <sheetView workbookViewId="0"/>
  </sheetViews>
  <sheetFormatPr baseColWidth="10" defaultColWidth="12.6640625" defaultRowHeight="15.75" customHeight="1" x14ac:dyDescent="0.15"/>
  <cols>
    <col min="1" max="1" width="32.6640625" customWidth="1"/>
    <col min="2" max="2" width="20.33203125" customWidth="1"/>
  </cols>
  <sheetData>
    <row r="3" spans="1:2" ht="15.75" customHeight="1" x14ac:dyDescent="0.2">
      <c r="A3" s="127" t="s">
        <v>347</v>
      </c>
      <c r="B3" s="128" t="s">
        <v>348</v>
      </c>
    </row>
    <row r="4" spans="1:2" ht="15.75" customHeight="1" x14ac:dyDescent="0.2">
      <c r="A4" s="129" t="s">
        <v>349</v>
      </c>
      <c r="B4" s="128" t="s">
        <v>350</v>
      </c>
    </row>
    <row r="5" spans="1:2" ht="15.75" customHeight="1" x14ac:dyDescent="0.2">
      <c r="A5" s="130" t="s">
        <v>351</v>
      </c>
      <c r="B5" s="128" t="s">
        <v>352</v>
      </c>
    </row>
    <row r="6" spans="1:2" ht="15.75" customHeight="1" x14ac:dyDescent="0.2">
      <c r="A6" s="131" t="s">
        <v>353</v>
      </c>
      <c r="B6" s="132" t="s">
        <v>354</v>
      </c>
    </row>
    <row r="7" spans="1:2" ht="15.75" customHeight="1" x14ac:dyDescent="0.2">
      <c r="A7" s="133" t="s">
        <v>355</v>
      </c>
      <c r="B7" s="132" t="s">
        <v>356</v>
      </c>
    </row>
    <row r="8" spans="1:2" ht="15.75" customHeight="1" x14ac:dyDescent="0.2">
      <c r="A8" s="134" t="s">
        <v>357</v>
      </c>
      <c r="B8" s="132" t="s">
        <v>358</v>
      </c>
    </row>
    <row r="9" spans="1:2" ht="15.75" customHeight="1" x14ac:dyDescent="0.2">
      <c r="A9" s="135" t="s">
        <v>359</v>
      </c>
      <c r="B9" s="132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sale_DIGITAL BUILDING</vt:lpstr>
      <vt:lpstr>Summary </vt:lpstr>
      <vt:lpstr>Hướng dẫn note màu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Trung Phạm</cp:lastModifiedBy>
  <dcterms:created xsi:type="dcterms:W3CDTF">2026-06-22T08:19:44Z</dcterms:created>
  <dcterms:modified xsi:type="dcterms:W3CDTF">2026-06-22T11:37:30Z</dcterms:modified>
</cp:coreProperties>
</file>